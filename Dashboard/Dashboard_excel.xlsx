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tables/table2.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IBIN\Desktop\Data Analytics Projects\Socialmedia\"/>
    </mc:Choice>
  </mc:AlternateContent>
  <xr:revisionPtr revIDLastSave="0" documentId="8_{7ACB0A42-5106-4A8D-92A5-0D81CFA601C3}" xr6:coauthVersionLast="47" xr6:coauthVersionMax="47" xr10:uidLastSave="{00000000-0000-0000-0000-000000000000}"/>
  <bookViews>
    <workbookView xWindow="-108" yWindow="-108" windowWidth="23256" windowHeight="12456" xr2:uid="{90837881-B8A8-49BE-BDB8-17CA083CFBAF}"/>
  </bookViews>
  <sheets>
    <sheet name="Sheet1" sheetId="2" r:id="rId1"/>
    <sheet name="Sheet4" sheetId="5" r:id="rId2"/>
    <sheet name="Sheet5" sheetId="6" r:id="rId3"/>
    <sheet name="Dashboard" sheetId="9" r:id="rId4"/>
    <sheet name="Sheet2" sheetId="10" state="hidden" r:id="rId5"/>
    <sheet name="Sheet7" sheetId="13" state="hidden" r:id="rId6"/>
    <sheet name="Mental_Health_and_Social_Media_" sheetId="1" r:id="rId7"/>
    <sheet name="Sheet3" sheetId="11" state="hidden" r:id="rId8"/>
    <sheet name="KPI_Calculations" sheetId="3" r:id="rId9"/>
    <sheet name="Sheet6" sheetId="12" r:id="rId10"/>
  </sheets>
  <definedNames>
    <definedName name="Slicer_Age_group">#N/A</definedName>
    <definedName name="Slicer_Gender">#N/A</definedName>
    <definedName name="Slicer_Social_Media_Platform">#N/A</definedName>
    <definedName name="Slicer_Social_Media_Platform1">#N/A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2" i="1"/>
  <c r="K3"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A2" i="11"/>
  <c r="A1" i="11"/>
  <c r="N501" i="1"/>
  <c r="M501" i="1"/>
  <c r="L501" i="1"/>
  <c r="N500" i="1"/>
  <c r="M500" i="1"/>
  <c r="L500" i="1"/>
  <c r="N499" i="1"/>
  <c r="M499" i="1"/>
  <c r="L499" i="1"/>
  <c r="N498" i="1"/>
  <c r="M498" i="1"/>
  <c r="L498" i="1"/>
  <c r="N497" i="1"/>
  <c r="M497" i="1"/>
  <c r="L497" i="1"/>
  <c r="N496" i="1"/>
  <c r="M496" i="1"/>
  <c r="L496" i="1"/>
  <c r="N495" i="1"/>
  <c r="M495" i="1"/>
  <c r="L495" i="1"/>
  <c r="N494" i="1"/>
  <c r="M494" i="1"/>
  <c r="L494" i="1"/>
  <c r="N493" i="1"/>
  <c r="M493" i="1"/>
  <c r="L493" i="1"/>
  <c r="N492" i="1"/>
  <c r="M492" i="1"/>
  <c r="L492" i="1"/>
  <c r="N491" i="1"/>
  <c r="M491" i="1"/>
  <c r="L491" i="1"/>
  <c r="N490" i="1"/>
  <c r="M490" i="1"/>
  <c r="L490" i="1"/>
  <c r="N489" i="1"/>
  <c r="M489" i="1"/>
  <c r="L489" i="1"/>
  <c r="N488" i="1"/>
  <c r="M488" i="1"/>
  <c r="L488" i="1"/>
  <c r="N487" i="1"/>
  <c r="M487" i="1"/>
  <c r="L487" i="1"/>
  <c r="N486" i="1"/>
  <c r="M486" i="1"/>
  <c r="L486" i="1"/>
  <c r="N485" i="1"/>
  <c r="M485" i="1"/>
  <c r="L485" i="1"/>
  <c r="N484" i="1"/>
  <c r="M484" i="1"/>
  <c r="L484" i="1"/>
  <c r="N483" i="1"/>
  <c r="M483" i="1"/>
  <c r="L483" i="1"/>
  <c r="N482" i="1"/>
  <c r="M482" i="1"/>
  <c r="L482" i="1"/>
  <c r="N481" i="1"/>
  <c r="M481" i="1"/>
  <c r="L481" i="1"/>
  <c r="N480" i="1"/>
  <c r="M480" i="1"/>
  <c r="L480" i="1"/>
  <c r="N479" i="1"/>
  <c r="M479" i="1"/>
  <c r="L479" i="1"/>
  <c r="N478" i="1"/>
  <c r="M478" i="1"/>
  <c r="L478" i="1"/>
  <c r="N477" i="1"/>
  <c r="M477" i="1"/>
  <c r="L477" i="1"/>
  <c r="N476" i="1"/>
  <c r="M476" i="1"/>
  <c r="L476" i="1"/>
  <c r="N475" i="1"/>
  <c r="M475" i="1"/>
  <c r="L475" i="1"/>
  <c r="N474" i="1"/>
  <c r="M474" i="1"/>
  <c r="L474" i="1"/>
  <c r="N473" i="1"/>
  <c r="M473" i="1"/>
  <c r="L473" i="1"/>
  <c r="N472" i="1"/>
  <c r="M472" i="1"/>
  <c r="L472" i="1"/>
  <c r="N471" i="1"/>
  <c r="M471" i="1"/>
  <c r="L471" i="1"/>
  <c r="N470" i="1"/>
  <c r="M470" i="1"/>
  <c r="L470" i="1"/>
  <c r="N469" i="1"/>
  <c r="M469" i="1"/>
  <c r="L469" i="1"/>
  <c r="N468" i="1"/>
  <c r="M468" i="1"/>
  <c r="L468" i="1"/>
  <c r="N467" i="1"/>
  <c r="M467" i="1"/>
  <c r="L467" i="1"/>
  <c r="N466" i="1"/>
  <c r="M466" i="1"/>
  <c r="L466" i="1"/>
  <c r="N465" i="1"/>
  <c r="M465" i="1"/>
  <c r="L465" i="1"/>
  <c r="N464" i="1"/>
  <c r="M464" i="1"/>
  <c r="L464" i="1"/>
  <c r="N463" i="1"/>
  <c r="M463" i="1"/>
  <c r="L463" i="1"/>
  <c r="N462" i="1"/>
  <c r="M462" i="1"/>
  <c r="L462" i="1"/>
  <c r="N461" i="1"/>
  <c r="M461" i="1"/>
  <c r="L461" i="1"/>
  <c r="N460" i="1"/>
  <c r="M460" i="1"/>
  <c r="L460" i="1"/>
  <c r="N459" i="1"/>
  <c r="M459" i="1"/>
  <c r="L459" i="1"/>
  <c r="N458" i="1"/>
  <c r="M458" i="1"/>
  <c r="L458" i="1"/>
  <c r="N457" i="1"/>
  <c r="M457" i="1"/>
  <c r="L457" i="1"/>
  <c r="N456" i="1"/>
  <c r="M456" i="1"/>
  <c r="L456" i="1"/>
  <c r="N455" i="1"/>
  <c r="M455" i="1"/>
  <c r="L455" i="1"/>
  <c r="N454" i="1"/>
  <c r="M454" i="1"/>
  <c r="L454" i="1"/>
  <c r="N453" i="1"/>
  <c r="M453" i="1"/>
  <c r="L453" i="1"/>
  <c r="N452" i="1"/>
  <c r="M452" i="1"/>
  <c r="L452" i="1"/>
  <c r="N451" i="1"/>
  <c r="M451" i="1"/>
  <c r="L451" i="1"/>
  <c r="N450" i="1"/>
  <c r="M450" i="1"/>
  <c r="L450" i="1"/>
  <c r="N449" i="1"/>
  <c r="M449" i="1"/>
  <c r="L449" i="1"/>
  <c r="N448" i="1"/>
  <c r="M448" i="1"/>
  <c r="L448" i="1"/>
  <c r="N447" i="1"/>
  <c r="M447" i="1"/>
  <c r="L447" i="1"/>
  <c r="N446" i="1"/>
  <c r="M446" i="1"/>
  <c r="L446" i="1"/>
  <c r="N445" i="1"/>
  <c r="M445" i="1"/>
  <c r="L445" i="1"/>
  <c r="N444" i="1"/>
  <c r="M444" i="1"/>
  <c r="L444" i="1"/>
  <c r="N443" i="1"/>
  <c r="M443" i="1"/>
  <c r="L443" i="1"/>
  <c r="N442" i="1"/>
  <c r="M442" i="1"/>
  <c r="L442" i="1"/>
  <c r="N441" i="1"/>
  <c r="M441" i="1"/>
  <c r="L441" i="1"/>
  <c r="N440" i="1"/>
  <c r="M440" i="1"/>
  <c r="L440" i="1"/>
  <c r="N439" i="1"/>
  <c r="M439" i="1"/>
  <c r="L439" i="1"/>
  <c r="N438" i="1"/>
  <c r="M438" i="1"/>
  <c r="L438" i="1"/>
  <c r="N437" i="1"/>
  <c r="M437" i="1"/>
  <c r="L437" i="1"/>
  <c r="N436" i="1"/>
  <c r="M436" i="1"/>
  <c r="L436" i="1"/>
  <c r="N435" i="1"/>
  <c r="M435" i="1"/>
  <c r="L435" i="1"/>
  <c r="N434" i="1"/>
  <c r="M434" i="1"/>
  <c r="L434" i="1"/>
  <c r="N433" i="1"/>
  <c r="M433" i="1"/>
  <c r="L433" i="1"/>
  <c r="N432" i="1"/>
  <c r="M432" i="1"/>
  <c r="L432" i="1"/>
  <c r="N431" i="1"/>
  <c r="M431" i="1"/>
  <c r="L431" i="1"/>
  <c r="N430" i="1"/>
  <c r="M430" i="1"/>
  <c r="L430" i="1"/>
  <c r="N429" i="1"/>
  <c r="M429" i="1"/>
  <c r="L429" i="1"/>
  <c r="N428" i="1"/>
  <c r="M428" i="1"/>
  <c r="L428" i="1"/>
  <c r="N427" i="1"/>
  <c r="M427" i="1"/>
  <c r="L427" i="1"/>
  <c r="N426" i="1"/>
  <c r="M426" i="1"/>
  <c r="L426" i="1"/>
  <c r="N425" i="1"/>
  <c r="M425" i="1"/>
  <c r="L425" i="1"/>
  <c r="N424" i="1"/>
  <c r="M424" i="1"/>
  <c r="L424" i="1"/>
  <c r="N423" i="1"/>
  <c r="M423" i="1"/>
  <c r="L423" i="1"/>
  <c r="N422" i="1"/>
  <c r="M422" i="1"/>
  <c r="L422" i="1"/>
  <c r="N421" i="1"/>
  <c r="M421" i="1"/>
  <c r="L421" i="1"/>
  <c r="N420" i="1"/>
  <c r="M420" i="1"/>
  <c r="L420" i="1"/>
  <c r="N419" i="1"/>
  <c r="M419" i="1"/>
  <c r="L419" i="1"/>
  <c r="N418" i="1"/>
  <c r="M418" i="1"/>
  <c r="L418" i="1"/>
  <c r="N417" i="1"/>
  <c r="M417" i="1"/>
  <c r="L417" i="1"/>
  <c r="N416" i="1"/>
  <c r="M416" i="1"/>
  <c r="L416" i="1"/>
  <c r="N415" i="1"/>
  <c r="M415" i="1"/>
  <c r="L415" i="1"/>
  <c r="N414" i="1"/>
  <c r="M414" i="1"/>
  <c r="L414" i="1"/>
  <c r="N413" i="1"/>
  <c r="M413" i="1"/>
  <c r="L413" i="1"/>
  <c r="N412" i="1"/>
  <c r="M412" i="1"/>
  <c r="L412" i="1"/>
  <c r="N411" i="1"/>
  <c r="M411" i="1"/>
  <c r="L411" i="1"/>
  <c r="N410" i="1"/>
  <c r="M410" i="1"/>
  <c r="L410" i="1"/>
  <c r="N409" i="1"/>
  <c r="M409" i="1"/>
  <c r="L409" i="1"/>
  <c r="N408" i="1"/>
  <c r="M408" i="1"/>
  <c r="L408" i="1"/>
  <c r="N407" i="1"/>
  <c r="M407" i="1"/>
  <c r="L407" i="1"/>
  <c r="N406" i="1"/>
  <c r="M406" i="1"/>
  <c r="L406" i="1"/>
  <c r="N405" i="1"/>
  <c r="M405" i="1"/>
  <c r="L405" i="1"/>
  <c r="N404" i="1"/>
  <c r="M404" i="1"/>
  <c r="L404" i="1"/>
  <c r="N403" i="1"/>
  <c r="M403" i="1"/>
  <c r="L403" i="1"/>
  <c r="N402" i="1"/>
  <c r="M402" i="1"/>
  <c r="L402" i="1"/>
  <c r="N401" i="1"/>
  <c r="M401" i="1"/>
  <c r="L401" i="1"/>
  <c r="N400" i="1"/>
  <c r="M400" i="1"/>
  <c r="L400" i="1"/>
  <c r="N399" i="1"/>
  <c r="M399" i="1"/>
  <c r="L399" i="1"/>
  <c r="N398" i="1"/>
  <c r="M398" i="1"/>
  <c r="L398" i="1"/>
  <c r="N397" i="1"/>
  <c r="M397" i="1"/>
  <c r="L397" i="1"/>
  <c r="N396" i="1"/>
  <c r="M396" i="1"/>
  <c r="L396" i="1"/>
  <c r="N395" i="1"/>
  <c r="M395" i="1"/>
  <c r="L395" i="1"/>
  <c r="N394" i="1"/>
  <c r="M394" i="1"/>
  <c r="L394" i="1"/>
  <c r="N393" i="1"/>
  <c r="M393" i="1"/>
  <c r="L393" i="1"/>
  <c r="N392" i="1"/>
  <c r="M392" i="1"/>
  <c r="L392" i="1"/>
  <c r="N391" i="1"/>
  <c r="M391" i="1"/>
  <c r="L391" i="1"/>
  <c r="N390" i="1"/>
  <c r="M390" i="1"/>
  <c r="L390" i="1"/>
  <c r="N389" i="1"/>
  <c r="M389" i="1"/>
  <c r="L389" i="1"/>
  <c r="N388" i="1"/>
  <c r="M388" i="1"/>
  <c r="L388" i="1"/>
  <c r="N387" i="1"/>
  <c r="M387" i="1"/>
  <c r="L387" i="1"/>
  <c r="N386" i="1"/>
  <c r="M386" i="1"/>
  <c r="L386" i="1"/>
  <c r="N385" i="1"/>
  <c r="M385" i="1"/>
  <c r="L385" i="1"/>
  <c r="N384" i="1"/>
  <c r="M384" i="1"/>
  <c r="L384" i="1"/>
  <c r="N383" i="1"/>
  <c r="M383" i="1"/>
  <c r="L383" i="1"/>
  <c r="N382" i="1"/>
  <c r="M382" i="1"/>
  <c r="L382" i="1"/>
  <c r="N381" i="1"/>
  <c r="M381" i="1"/>
  <c r="L381" i="1"/>
  <c r="N380" i="1"/>
  <c r="M380" i="1"/>
  <c r="L380" i="1"/>
  <c r="N379" i="1"/>
  <c r="M379" i="1"/>
  <c r="L379" i="1"/>
  <c r="N378" i="1"/>
  <c r="M378" i="1"/>
  <c r="L378" i="1"/>
  <c r="N377" i="1"/>
  <c r="M377" i="1"/>
  <c r="L377" i="1"/>
  <c r="N376" i="1"/>
  <c r="M376" i="1"/>
  <c r="L376" i="1"/>
  <c r="N375" i="1"/>
  <c r="M375" i="1"/>
  <c r="L375" i="1"/>
  <c r="N374" i="1"/>
  <c r="M374" i="1"/>
  <c r="L374" i="1"/>
  <c r="N373" i="1"/>
  <c r="M373" i="1"/>
  <c r="L373" i="1"/>
  <c r="N372" i="1"/>
  <c r="M372" i="1"/>
  <c r="L372" i="1"/>
  <c r="N371" i="1"/>
  <c r="M371" i="1"/>
  <c r="L371" i="1"/>
  <c r="N370" i="1"/>
  <c r="M370" i="1"/>
  <c r="L370" i="1"/>
  <c r="N369" i="1"/>
  <c r="M369" i="1"/>
  <c r="L369" i="1"/>
  <c r="N368" i="1"/>
  <c r="M368" i="1"/>
  <c r="L368" i="1"/>
  <c r="N367" i="1"/>
  <c r="M367" i="1"/>
  <c r="L367" i="1"/>
  <c r="N366" i="1"/>
  <c r="M366" i="1"/>
  <c r="L366" i="1"/>
  <c r="N365" i="1"/>
  <c r="M365" i="1"/>
  <c r="L365" i="1"/>
  <c r="N364" i="1"/>
  <c r="M364" i="1"/>
  <c r="L364" i="1"/>
  <c r="N363" i="1"/>
  <c r="M363" i="1"/>
  <c r="L363" i="1"/>
  <c r="N362" i="1"/>
  <c r="M362" i="1"/>
  <c r="L362" i="1"/>
  <c r="N361" i="1"/>
  <c r="M361" i="1"/>
  <c r="L361" i="1"/>
  <c r="N360" i="1"/>
  <c r="M360" i="1"/>
  <c r="L360" i="1"/>
  <c r="N359" i="1"/>
  <c r="M359" i="1"/>
  <c r="L359" i="1"/>
  <c r="N358" i="1"/>
  <c r="M358" i="1"/>
  <c r="L358" i="1"/>
  <c r="N357" i="1"/>
  <c r="M357" i="1"/>
  <c r="L357" i="1"/>
  <c r="N356" i="1"/>
  <c r="M356" i="1"/>
  <c r="L356" i="1"/>
  <c r="N355" i="1"/>
  <c r="M355" i="1"/>
  <c r="L355" i="1"/>
  <c r="N354" i="1"/>
  <c r="M354" i="1"/>
  <c r="L354" i="1"/>
  <c r="N353" i="1"/>
  <c r="M353" i="1"/>
  <c r="L353" i="1"/>
  <c r="N352" i="1"/>
  <c r="M352" i="1"/>
  <c r="L352" i="1"/>
  <c r="N351" i="1"/>
  <c r="M351" i="1"/>
  <c r="L351" i="1"/>
  <c r="N350" i="1"/>
  <c r="M350" i="1"/>
  <c r="L350" i="1"/>
  <c r="N349" i="1"/>
  <c r="M349" i="1"/>
  <c r="L349" i="1"/>
  <c r="N348" i="1"/>
  <c r="M348" i="1"/>
  <c r="L348" i="1"/>
  <c r="N347" i="1"/>
  <c r="M347" i="1"/>
  <c r="L347" i="1"/>
  <c r="N346" i="1"/>
  <c r="M346" i="1"/>
  <c r="L346" i="1"/>
  <c r="N345" i="1"/>
  <c r="M345" i="1"/>
  <c r="L345" i="1"/>
  <c r="N344" i="1"/>
  <c r="M344" i="1"/>
  <c r="L344" i="1"/>
  <c r="N343" i="1"/>
  <c r="M343" i="1"/>
  <c r="L343" i="1"/>
  <c r="N342" i="1"/>
  <c r="M342" i="1"/>
  <c r="L342" i="1"/>
  <c r="N341" i="1"/>
  <c r="M341" i="1"/>
  <c r="L341" i="1"/>
  <c r="N340" i="1"/>
  <c r="M340" i="1"/>
  <c r="L340" i="1"/>
  <c r="N339" i="1"/>
  <c r="M339" i="1"/>
  <c r="L339" i="1"/>
  <c r="N338" i="1"/>
  <c r="M338" i="1"/>
  <c r="L338" i="1"/>
  <c r="N337" i="1"/>
  <c r="M337" i="1"/>
  <c r="L337" i="1"/>
  <c r="N336" i="1"/>
  <c r="M336" i="1"/>
  <c r="L336" i="1"/>
  <c r="N335" i="1"/>
  <c r="M335" i="1"/>
  <c r="L335" i="1"/>
  <c r="N334" i="1"/>
  <c r="M334" i="1"/>
  <c r="L334" i="1"/>
  <c r="N333" i="1"/>
  <c r="M333" i="1"/>
  <c r="L333" i="1"/>
  <c r="N332" i="1"/>
  <c r="M332" i="1"/>
  <c r="L332" i="1"/>
  <c r="N331" i="1"/>
  <c r="M331" i="1"/>
  <c r="L331" i="1"/>
  <c r="N330" i="1"/>
  <c r="M330" i="1"/>
  <c r="L330" i="1"/>
  <c r="N329" i="1"/>
  <c r="M329" i="1"/>
  <c r="L329" i="1"/>
  <c r="N328" i="1"/>
  <c r="M328" i="1"/>
  <c r="L328" i="1"/>
  <c r="N327" i="1"/>
  <c r="M327" i="1"/>
  <c r="L327" i="1"/>
  <c r="N326" i="1"/>
  <c r="M326" i="1"/>
  <c r="L326" i="1"/>
  <c r="N325" i="1"/>
  <c r="M325" i="1"/>
  <c r="L325" i="1"/>
  <c r="N324" i="1"/>
  <c r="M324" i="1"/>
  <c r="L324" i="1"/>
  <c r="N323" i="1"/>
  <c r="M323" i="1"/>
  <c r="L323" i="1"/>
  <c r="N322" i="1"/>
  <c r="M322" i="1"/>
  <c r="L322" i="1"/>
  <c r="N321" i="1"/>
  <c r="M321" i="1"/>
  <c r="L321" i="1"/>
  <c r="N320" i="1"/>
  <c r="M320" i="1"/>
  <c r="L320" i="1"/>
  <c r="N319" i="1"/>
  <c r="M319" i="1"/>
  <c r="L319" i="1"/>
  <c r="N318" i="1"/>
  <c r="M318" i="1"/>
  <c r="L318" i="1"/>
  <c r="N317" i="1"/>
  <c r="M317" i="1"/>
  <c r="L317" i="1"/>
  <c r="N316" i="1"/>
  <c r="M316" i="1"/>
  <c r="L316" i="1"/>
  <c r="N315" i="1"/>
  <c r="M315" i="1"/>
  <c r="L315" i="1"/>
  <c r="N314" i="1"/>
  <c r="M314" i="1"/>
  <c r="L314" i="1"/>
  <c r="N313" i="1"/>
  <c r="M313" i="1"/>
  <c r="L313" i="1"/>
  <c r="N312" i="1"/>
  <c r="M312" i="1"/>
  <c r="L312" i="1"/>
  <c r="N311" i="1"/>
  <c r="M311" i="1"/>
  <c r="L311" i="1"/>
  <c r="N310" i="1"/>
  <c r="M310" i="1"/>
  <c r="L310" i="1"/>
  <c r="N309" i="1"/>
  <c r="M309" i="1"/>
  <c r="L309" i="1"/>
  <c r="N308" i="1"/>
  <c r="M308" i="1"/>
  <c r="L308" i="1"/>
  <c r="N307" i="1"/>
  <c r="M307" i="1"/>
  <c r="L307" i="1"/>
  <c r="N306" i="1"/>
  <c r="M306" i="1"/>
  <c r="L306" i="1"/>
  <c r="N305" i="1"/>
  <c r="M305" i="1"/>
  <c r="L305" i="1"/>
  <c r="N304" i="1"/>
  <c r="M304" i="1"/>
  <c r="L304" i="1"/>
  <c r="N303" i="1"/>
  <c r="M303" i="1"/>
  <c r="L303" i="1"/>
  <c r="N302" i="1"/>
  <c r="M302" i="1"/>
  <c r="L302" i="1"/>
  <c r="N301" i="1"/>
  <c r="M301" i="1"/>
  <c r="L301" i="1"/>
  <c r="N300" i="1"/>
  <c r="M300" i="1"/>
  <c r="L300" i="1"/>
  <c r="N299" i="1"/>
  <c r="M299" i="1"/>
  <c r="L299" i="1"/>
  <c r="N298" i="1"/>
  <c r="M298" i="1"/>
  <c r="L298" i="1"/>
  <c r="N297" i="1"/>
  <c r="M297" i="1"/>
  <c r="L297" i="1"/>
  <c r="N296" i="1"/>
  <c r="M296" i="1"/>
  <c r="L296" i="1"/>
  <c r="N295" i="1"/>
  <c r="M295" i="1"/>
  <c r="L295" i="1"/>
  <c r="N294" i="1"/>
  <c r="M294" i="1"/>
  <c r="L294" i="1"/>
  <c r="N293" i="1"/>
  <c r="M293" i="1"/>
  <c r="L293" i="1"/>
  <c r="N292" i="1"/>
  <c r="M292" i="1"/>
  <c r="L292" i="1"/>
  <c r="N291" i="1"/>
  <c r="M291" i="1"/>
  <c r="L291" i="1"/>
  <c r="N290" i="1"/>
  <c r="M290" i="1"/>
  <c r="L290" i="1"/>
  <c r="N289" i="1"/>
  <c r="M289" i="1"/>
  <c r="L289" i="1"/>
  <c r="N288" i="1"/>
  <c r="M288" i="1"/>
  <c r="L288" i="1"/>
  <c r="N287" i="1"/>
  <c r="M287" i="1"/>
  <c r="L287" i="1"/>
  <c r="N286" i="1"/>
  <c r="M286" i="1"/>
  <c r="L286" i="1"/>
  <c r="N285" i="1"/>
  <c r="M285" i="1"/>
  <c r="L285" i="1"/>
  <c r="N284" i="1"/>
  <c r="M284" i="1"/>
  <c r="L284" i="1"/>
  <c r="N283" i="1"/>
  <c r="M283" i="1"/>
  <c r="L283" i="1"/>
  <c r="N282" i="1"/>
  <c r="M282" i="1"/>
  <c r="L282" i="1"/>
  <c r="N281" i="1"/>
  <c r="M281" i="1"/>
  <c r="L281" i="1"/>
  <c r="N280" i="1"/>
  <c r="M280" i="1"/>
  <c r="L280" i="1"/>
  <c r="N279" i="1"/>
  <c r="M279" i="1"/>
  <c r="L279" i="1"/>
  <c r="N278" i="1"/>
  <c r="M278" i="1"/>
  <c r="L278" i="1"/>
  <c r="N277" i="1"/>
  <c r="M277" i="1"/>
  <c r="L277" i="1"/>
  <c r="N276" i="1"/>
  <c r="M276" i="1"/>
  <c r="L276" i="1"/>
  <c r="N275" i="1"/>
  <c r="M275" i="1"/>
  <c r="L275" i="1"/>
  <c r="N274" i="1"/>
  <c r="M274" i="1"/>
  <c r="L274" i="1"/>
  <c r="N273" i="1"/>
  <c r="M273" i="1"/>
  <c r="L273" i="1"/>
  <c r="N272" i="1"/>
  <c r="M272" i="1"/>
  <c r="L272" i="1"/>
  <c r="N271" i="1"/>
  <c r="M271" i="1"/>
  <c r="L271" i="1"/>
  <c r="N270" i="1"/>
  <c r="M270" i="1"/>
  <c r="L270" i="1"/>
  <c r="N269" i="1"/>
  <c r="M269" i="1"/>
  <c r="L269" i="1"/>
  <c r="N268" i="1"/>
  <c r="M268" i="1"/>
  <c r="L268" i="1"/>
  <c r="N267" i="1"/>
  <c r="M267" i="1"/>
  <c r="L267" i="1"/>
  <c r="N266" i="1"/>
  <c r="M266" i="1"/>
  <c r="L266" i="1"/>
  <c r="N265" i="1"/>
  <c r="M265" i="1"/>
  <c r="L265" i="1"/>
  <c r="N264" i="1"/>
  <c r="M264" i="1"/>
  <c r="L264" i="1"/>
  <c r="N263" i="1"/>
  <c r="M263" i="1"/>
  <c r="L263" i="1"/>
  <c r="N262" i="1"/>
  <c r="M262" i="1"/>
  <c r="L262" i="1"/>
  <c r="N261" i="1"/>
  <c r="M261" i="1"/>
  <c r="L261" i="1"/>
  <c r="N260" i="1"/>
  <c r="M260" i="1"/>
  <c r="L260" i="1"/>
  <c r="N259" i="1"/>
  <c r="M259" i="1"/>
  <c r="L259" i="1"/>
  <c r="N258" i="1"/>
  <c r="M258" i="1"/>
  <c r="L258" i="1"/>
  <c r="N257" i="1"/>
  <c r="M257" i="1"/>
  <c r="L257" i="1"/>
  <c r="N256" i="1"/>
  <c r="M256" i="1"/>
  <c r="L256" i="1"/>
  <c r="N255" i="1"/>
  <c r="M255" i="1"/>
  <c r="L255" i="1"/>
  <c r="N254" i="1"/>
  <c r="M254" i="1"/>
  <c r="L254" i="1"/>
  <c r="N253" i="1"/>
  <c r="M253" i="1"/>
  <c r="L253" i="1"/>
  <c r="N252" i="1"/>
  <c r="M252" i="1"/>
  <c r="L252" i="1"/>
  <c r="N251" i="1"/>
  <c r="M251" i="1"/>
  <c r="L251" i="1"/>
  <c r="N250" i="1"/>
  <c r="M250" i="1"/>
  <c r="L250" i="1"/>
  <c r="N249" i="1"/>
  <c r="M249" i="1"/>
  <c r="L249" i="1"/>
  <c r="N248" i="1"/>
  <c r="M248" i="1"/>
  <c r="L248" i="1"/>
  <c r="N247" i="1"/>
  <c r="M247" i="1"/>
  <c r="L247" i="1"/>
  <c r="N246" i="1"/>
  <c r="M246" i="1"/>
  <c r="L246" i="1"/>
  <c r="N245" i="1"/>
  <c r="M245" i="1"/>
  <c r="L245" i="1"/>
  <c r="N244" i="1"/>
  <c r="M244" i="1"/>
  <c r="L244" i="1"/>
  <c r="N243" i="1"/>
  <c r="M243" i="1"/>
  <c r="L243" i="1"/>
  <c r="N242" i="1"/>
  <c r="M242" i="1"/>
  <c r="L242" i="1"/>
  <c r="N241" i="1"/>
  <c r="M241" i="1"/>
  <c r="L241" i="1"/>
  <c r="N240" i="1"/>
  <c r="M240" i="1"/>
  <c r="L240" i="1"/>
  <c r="N239" i="1"/>
  <c r="M239" i="1"/>
  <c r="L239" i="1"/>
  <c r="N238" i="1"/>
  <c r="M238" i="1"/>
  <c r="L238" i="1"/>
  <c r="N237" i="1"/>
  <c r="M237" i="1"/>
  <c r="L237" i="1"/>
  <c r="N236" i="1"/>
  <c r="M236" i="1"/>
  <c r="L236" i="1"/>
  <c r="N235" i="1"/>
  <c r="M235" i="1"/>
  <c r="L235" i="1"/>
  <c r="N234" i="1"/>
  <c r="M234" i="1"/>
  <c r="L234" i="1"/>
  <c r="N233" i="1"/>
  <c r="M233" i="1"/>
  <c r="L233" i="1"/>
  <c r="N232" i="1"/>
  <c r="M232" i="1"/>
  <c r="L232" i="1"/>
  <c r="N231" i="1"/>
  <c r="M231" i="1"/>
  <c r="L231" i="1"/>
  <c r="N230" i="1"/>
  <c r="M230" i="1"/>
  <c r="L230" i="1"/>
  <c r="N229" i="1"/>
  <c r="M229" i="1"/>
  <c r="L229" i="1"/>
  <c r="N228" i="1"/>
  <c r="M228" i="1"/>
  <c r="L228" i="1"/>
  <c r="N227" i="1"/>
  <c r="M227" i="1"/>
  <c r="L227" i="1"/>
  <c r="N226" i="1"/>
  <c r="M226" i="1"/>
  <c r="L226" i="1"/>
  <c r="N225" i="1"/>
  <c r="M225" i="1"/>
  <c r="L225" i="1"/>
  <c r="N224" i="1"/>
  <c r="M224" i="1"/>
  <c r="L224" i="1"/>
  <c r="N223" i="1"/>
  <c r="M223" i="1"/>
  <c r="L223" i="1"/>
  <c r="N222" i="1"/>
  <c r="M222" i="1"/>
  <c r="L222" i="1"/>
  <c r="N221" i="1"/>
  <c r="M221" i="1"/>
  <c r="L221" i="1"/>
  <c r="N220" i="1"/>
  <c r="M220" i="1"/>
  <c r="L220" i="1"/>
  <c r="N219" i="1"/>
  <c r="M219" i="1"/>
  <c r="L219" i="1"/>
  <c r="N218" i="1"/>
  <c r="M218" i="1"/>
  <c r="L218" i="1"/>
  <c r="N217" i="1"/>
  <c r="M217" i="1"/>
  <c r="L217" i="1"/>
  <c r="N216" i="1"/>
  <c r="M216" i="1"/>
  <c r="L216" i="1"/>
  <c r="N215" i="1"/>
  <c r="M215" i="1"/>
  <c r="L215" i="1"/>
  <c r="N214" i="1"/>
  <c r="M214" i="1"/>
  <c r="L214" i="1"/>
  <c r="N213" i="1"/>
  <c r="M213" i="1"/>
  <c r="L213" i="1"/>
  <c r="N212" i="1"/>
  <c r="M212" i="1"/>
  <c r="L212" i="1"/>
  <c r="N211" i="1"/>
  <c r="M211" i="1"/>
  <c r="L211" i="1"/>
  <c r="N210" i="1"/>
  <c r="M210" i="1"/>
  <c r="L210" i="1"/>
  <c r="N209" i="1"/>
  <c r="M209" i="1"/>
  <c r="L209" i="1"/>
  <c r="N208" i="1"/>
  <c r="M208" i="1"/>
  <c r="L208" i="1"/>
  <c r="N207" i="1"/>
  <c r="M207" i="1"/>
  <c r="L207" i="1"/>
  <c r="N206" i="1"/>
  <c r="M206" i="1"/>
  <c r="L206" i="1"/>
  <c r="N205" i="1"/>
  <c r="M205" i="1"/>
  <c r="L205" i="1"/>
  <c r="N204" i="1"/>
  <c r="M204" i="1"/>
  <c r="L204" i="1"/>
  <c r="N203" i="1"/>
  <c r="M203" i="1"/>
  <c r="L203" i="1"/>
  <c r="N202" i="1"/>
  <c r="M202" i="1"/>
  <c r="L202" i="1"/>
  <c r="N201" i="1"/>
  <c r="M201" i="1"/>
  <c r="L201" i="1"/>
  <c r="N200" i="1"/>
  <c r="M200" i="1"/>
  <c r="L200" i="1"/>
  <c r="N199" i="1"/>
  <c r="M199" i="1"/>
  <c r="L199" i="1"/>
  <c r="N198" i="1"/>
  <c r="M198" i="1"/>
  <c r="L198" i="1"/>
  <c r="N197" i="1"/>
  <c r="M197" i="1"/>
  <c r="L197" i="1"/>
  <c r="N196" i="1"/>
  <c r="M196" i="1"/>
  <c r="L196" i="1"/>
  <c r="N195" i="1"/>
  <c r="M195" i="1"/>
  <c r="L195" i="1"/>
  <c r="N194" i="1"/>
  <c r="M194" i="1"/>
  <c r="L194" i="1"/>
  <c r="N193" i="1"/>
  <c r="M193" i="1"/>
  <c r="L193" i="1"/>
  <c r="N192" i="1"/>
  <c r="M192" i="1"/>
  <c r="L192" i="1"/>
  <c r="N191" i="1"/>
  <c r="M191" i="1"/>
  <c r="L191" i="1"/>
  <c r="N190" i="1"/>
  <c r="M190" i="1"/>
  <c r="L190" i="1"/>
  <c r="N189" i="1"/>
  <c r="M189" i="1"/>
  <c r="L189" i="1"/>
  <c r="N188" i="1"/>
  <c r="M188" i="1"/>
  <c r="L188" i="1"/>
  <c r="N187" i="1"/>
  <c r="M187" i="1"/>
  <c r="L187" i="1"/>
  <c r="N186" i="1"/>
  <c r="M186" i="1"/>
  <c r="L186" i="1"/>
  <c r="N185" i="1"/>
  <c r="M185" i="1"/>
  <c r="L185" i="1"/>
  <c r="N184" i="1"/>
  <c r="M184" i="1"/>
  <c r="L184" i="1"/>
  <c r="N183" i="1"/>
  <c r="M183" i="1"/>
  <c r="L183" i="1"/>
  <c r="N182" i="1"/>
  <c r="M182" i="1"/>
  <c r="L182" i="1"/>
  <c r="N181" i="1"/>
  <c r="M181" i="1"/>
  <c r="L181" i="1"/>
  <c r="N180" i="1"/>
  <c r="M180" i="1"/>
  <c r="L180" i="1"/>
  <c r="N179" i="1"/>
  <c r="M179" i="1"/>
  <c r="L179" i="1"/>
  <c r="N178" i="1"/>
  <c r="M178" i="1"/>
  <c r="L178" i="1"/>
  <c r="N177" i="1"/>
  <c r="M177" i="1"/>
  <c r="L177" i="1"/>
  <c r="N176" i="1"/>
  <c r="M176" i="1"/>
  <c r="L176" i="1"/>
  <c r="N175" i="1"/>
  <c r="M175" i="1"/>
  <c r="L175" i="1"/>
  <c r="N174" i="1"/>
  <c r="M174" i="1"/>
  <c r="L174" i="1"/>
  <c r="N173" i="1"/>
  <c r="M173" i="1"/>
  <c r="L173" i="1"/>
  <c r="N172" i="1"/>
  <c r="M172" i="1"/>
  <c r="L172" i="1"/>
  <c r="N171" i="1"/>
  <c r="M171" i="1"/>
  <c r="L171" i="1"/>
  <c r="N170" i="1"/>
  <c r="M170" i="1"/>
  <c r="L170" i="1"/>
  <c r="N169" i="1"/>
  <c r="M169" i="1"/>
  <c r="L169" i="1"/>
  <c r="N168" i="1"/>
  <c r="M168" i="1"/>
  <c r="L168" i="1"/>
  <c r="N167" i="1"/>
  <c r="M167" i="1"/>
  <c r="L167" i="1"/>
  <c r="N166" i="1"/>
  <c r="M166" i="1"/>
  <c r="L166" i="1"/>
  <c r="N165" i="1"/>
  <c r="M165" i="1"/>
  <c r="L165" i="1"/>
  <c r="N164" i="1"/>
  <c r="M164" i="1"/>
  <c r="L164" i="1"/>
  <c r="N163" i="1"/>
  <c r="M163" i="1"/>
  <c r="L163" i="1"/>
  <c r="N162" i="1"/>
  <c r="M162" i="1"/>
  <c r="L162" i="1"/>
  <c r="N161" i="1"/>
  <c r="M161" i="1"/>
  <c r="L161" i="1"/>
  <c r="N160" i="1"/>
  <c r="M160" i="1"/>
  <c r="L160" i="1"/>
  <c r="N159" i="1"/>
  <c r="M159" i="1"/>
  <c r="L159" i="1"/>
  <c r="N158" i="1"/>
  <c r="M158" i="1"/>
  <c r="L158" i="1"/>
  <c r="N157" i="1"/>
  <c r="M157" i="1"/>
  <c r="L157" i="1"/>
  <c r="N156" i="1"/>
  <c r="M156" i="1"/>
  <c r="L156" i="1"/>
  <c r="N155" i="1"/>
  <c r="M155" i="1"/>
  <c r="L155" i="1"/>
  <c r="N154" i="1"/>
  <c r="M154" i="1"/>
  <c r="L154" i="1"/>
  <c r="N153" i="1"/>
  <c r="M153" i="1"/>
  <c r="L153" i="1"/>
  <c r="N152" i="1"/>
  <c r="M152" i="1"/>
  <c r="L152" i="1"/>
  <c r="N151" i="1"/>
  <c r="M151" i="1"/>
  <c r="L151" i="1"/>
  <c r="N150" i="1"/>
  <c r="M150" i="1"/>
  <c r="L150" i="1"/>
  <c r="N149" i="1"/>
  <c r="M149" i="1"/>
  <c r="L149" i="1"/>
  <c r="N148" i="1"/>
  <c r="M148" i="1"/>
  <c r="L148" i="1"/>
  <c r="N147" i="1"/>
  <c r="M147" i="1"/>
  <c r="L147" i="1"/>
  <c r="N146" i="1"/>
  <c r="M146" i="1"/>
  <c r="L146" i="1"/>
  <c r="N145" i="1"/>
  <c r="M145" i="1"/>
  <c r="L145" i="1"/>
  <c r="N144" i="1"/>
  <c r="M144" i="1"/>
  <c r="L144" i="1"/>
  <c r="N143" i="1"/>
  <c r="M143" i="1"/>
  <c r="L143" i="1"/>
  <c r="N142" i="1"/>
  <c r="M142" i="1"/>
  <c r="L142" i="1"/>
  <c r="N141" i="1"/>
  <c r="M141" i="1"/>
  <c r="L141" i="1"/>
  <c r="N140" i="1"/>
  <c r="M140" i="1"/>
  <c r="L140" i="1"/>
  <c r="N139" i="1"/>
  <c r="M139" i="1"/>
  <c r="L139" i="1"/>
  <c r="N138" i="1"/>
  <c r="M138" i="1"/>
  <c r="L138" i="1"/>
  <c r="N137" i="1"/>
  <c r="M137" i="1"/>
  <c r="L137" i="1"/>
  <c r="N136" i="1"/>
  <c r="M136" i="1"/>
  <c r="L136" i="1"/>
  <c r="N135" i="1"/>
  <c r="M135" i="1"/>
  <c r="L135" i="1"/>
  <c r="N134" i="1"/>
  <c r="M134" i="1"/>
  <c r="L134" i="1"/>
  <c r="N133" i="1"/>
  <c r="M133" i="1"/>
  <c r="L133" i="1"/>
  <c r="N132" i="1"/>
  <c r="M132" i="1"/>
  <c r="L132" i="1"/>
  <c r="N131" i="1"/>
  <c r="M131" i="1"/>
  <c r="L131" i="1"/>
  <c r="N130" i="1"/>
  <c r="M130" i="1"/>
  <c r="L130" i="1"/>
  <c r="N129" i="1"/>
  <c r="M129" i="1"/>
  <c r="L129" i="1"/>
  <c r="N128" i="1"/>
  <c r="M128" i="1"/>
  <c r="L128" i="1"/>
  <c r="N127" i="1"/>
  <c r="M127" i="1"/>
  <c r="L127" i="1"/>
  <c r="N126" i="1"/>
  <c r="M126" i="1"/>
  <c r="L126" i="1"/>
  <c r="N125" i="1"/>
  <c r="M125" i="1"/>
  <c r="L125" i="1"/>
  <c r="N124" i="1"/>
  <c r="M124" i="1"/>
  <c r="L124" i="1"/>
  <c r="N123" i="1"/>
  <c r="M123" i="1"/>
  <c r="L123" i="1"/>
  <c r="N122" i="1"/>
  <c r="M122" i="1"/>
  <c r="L122" i="1"/>
  <c r="N121" i="1"/>
  <c r="M121" i="1"/>
  <c r="L121" i="1"/>
  <c r="N120" i="1"/>
  <c r="M120" i="1"/>
  <c r="L120" i="1"/>
  <c r="N119" i="1"/>
  <c r="M119" i="1"/>
  <c r="L119" i="1"/>
  <c r="N118" i="1"/>
  <c r="M118" i="1"/>
  <c r="L118" i="1"/>
  <c r="N117" i="1"/>
  <c r="M117" i="1"/>
  <c r="L117" i="1"/>
  <c r="N116" i="1"/>
  <c r="M116" i="1"/>
  <c r="L116" i="1"/>
  <c r="N115" i="1"/>
  <c r="M115" i="1"/>
  <c r="L115" i="1"/>
  <c r="N114" i="1"/>
  <c r="M114" i="1"/>
  <c r="L114" i="1"/>
  <c r="N113" i="1"/>
  <c r="M113" i="1"/>
  <c r="L113" i="1"/>
  <c r="N112" i="1"/>
  <c r="M112" i="1"/>
  <c r="L112" i="1"/>
  <c r="N111" i="1"/>
  <c r="M111" i="1"/>
  <c r="L111" i="1"/>
  <c r="N110" i="1"/>
  <c r="M110" i="1"/>
  <c r="L110" i="1"/>
  <c r="N109" i="1"/>
  <c r="M109" i="1"/>
  <c r="L109" i="1"/>
  <c r="N108" i="1"/>
  <c r="M108" i="1"/>
  <c r="L108" i="1"/>
  <c r="N107" i="1"/>
  <c r="M107" i="1"/>
  <c r="L107" i="1"/>
  <c r="N106" i="1"/>
  <c r="M106" i="1"/>
  <c r="L106" i="1"/>
  <c r="N105" i="1"/>
  <c r="M105" i="1"/>
  <c r="L105" i="1"/>
  <c r="N104" i="1"/>
  <c r="M104" i="1"/>
  <c r="L104" i="1"/>
  <c r="N103" i="1"/>
  <c r="M103" i="1"/>
  <c r="L103" i="1"/>
  <c r="N102" i="1"/>
  <c r="M102" i="1"/>
  <c r="L102" i="1"/>
  <c r="N101" i="1"/>
  <c r="M101" i="1"/>
  <c r="L101" i="1"/>
  <c r="N100" i="1"/>
  <c r="M100" i="1"/>
  <c r="L100" i="1"/>
  <c r="N99" i="1"/>
  <c r="M99" i="1"/>
  <c r="L99" i="1"/>
  <c r="N98" i="1"/>
  <c r="M98" i="1"/>
  <c r="L98" i="1"/>
  <c r="N97" i="1"/>
  <c r="M97" i="1"/>
  <c r="L97" i="1"/>
  <c r="N96" i="1"/>
  <c r="M96" i="1"/>
  <c r="L96" i="1"/>
  <c r="N95" i="1"/>
  <c r="M95" i="1"/>
  <c r="L95" i="1"/>
  <c r="N94" i="1"/>
  <c r="M94" i="1"/>
  <c r="L94" i="1"/>
  <c r="N93" i="1"/>
  <c r="M93" i="1"/>
  <c r="L93" i="1"/>
  <c r="N92" i="1"/>
  <c r="M92" i="1"/>
  <c r="L92" i="1"/>
  <c r="N91" i="1"/>
  <c r="M91" i="1"/>
  <c r="L91" i="1"/>
  <c r="N90" i="1"/>
  <c r="M90" i="1"/>
  <c r="L90" i="1"/>
  <c r="N89" i="1"/>
  <c r="M89" i="1"/>
  <c r="L89" i="1"/>
  <c r="N88" i="1"/>
  <c r="M88" i="1"/>
  <c r="L88" i="1"/>
  <c r="N87" i="1"/>
  <c r="M87" i="1"/>
  <c r="L87" i="1"/>
  <c r="N86" i="1"/>
  <c r="M86" i="1"/>
  <c r="L86" i="1"/>
  <c r="N85" i="1"/>
  <c r="M85" i="1"/>
  <c r="L85" i="1"/>
  <c r="N84" i="1"/>
  <c r="M84" i="1"/>
  <c r="L84" i="1"/>
  <c r="N83" i="1"/>
  <c r="M83" i="1"/>
  <c r="L83" i="1"/>
  <c r="N82" i="1"/>
  <c r="M82" i="1"/>
  <c r="L82" i="1"/>
  <c r="N81" i="1"/>
  <c r="M81" i="1"/>
  <c r="L81" i="1"/>
  <c r="N80" i="1"/>
  <c r="M80" i="1"/>
  <c r="L80" i="1"/>
  <c r="N79" i="1"/>
  <c r="M79" i="1"/>
  <c r="L79" i="1"/>
  <c r="N78" i="1"/>
  <c r="M78" i="1"/>
  <c r="L78" i="1"/>
  <c r="N77" i="1"/>
  <c r="M77" i="1"/>
  <c r="L77" i="1"/>
  <c r="N76" i="1"/>
  <c r="M76" i="1"/>
  <c r="L76" i="1"/>
  <c r="N75" i="1"/>
  <c r="M75" i="1"/>
  <c r="L75" i="1"/>
  <c r="N74" i="1"/>
  <c r="M74" i="1"/>
  <c r="L74" i="1"/>
  <c r="N73" i="1"/>
  <c r="M73" i="1"/>
  <c r="L73" i="1"/>
  <c r="N72" i="1"/>
  <c r="M72" i="1"/>
  <c r="L72" i="1"/>
  <c r="N71" i="1"/>
  <c r="M71" i="1"/>
  <c r="L71" i="1"/>
  <c r="N70" i="1"/>
  <c r="M70" i="1"/>
  <c r="L70" i="1"/>
  <c r="N69" i="1"/>
  <c r="M69" i="1"/>
  <c r="L69" i="1"/>
  <c r="N68" i="1"/>
  <c r="M68" i="1"/>
  <c r="L68" i="1"/>
  <c r="N67" i="1"/>
  <c r="M67" i="1"/>
  <c r="L67" i="1"/>
  <c r="N66" i="1"/>
  <c r="M66" i="1"/>
  <c r="L66" i="1"/>
  <c r="N65" i="1"/>
  <c r="M65" i="1"/>
  <c r="L65" i="1"/>
  <c r="N64" i="1"/>
  <c r="M64" i="1"/>
  <c r="L64" i="1"/>
  <c r="N63" i="1"/>
  <c r="M63" i="1"/>
  <c r="L63" i="1"/>
  <c r="N62" i="1"/>
  <c r="M62" i="1"/>
  <c r="L62" i="1"/>
  <c r="N61" i="1"/>
  <c r="M61" i="1"/>
  <c r="L61" i="1"/>
  <c r="N60" i="1"/>
  <c r="M60" i="1"/>
  <c r="L60" i="1"/>
  <c r="N59" i="1"/>
  <c r="M59" i="1"/>
  <c r="L59" i="1"/>
  <c r="N58" i="1"/>
  <c r="M58" i="1"/>
  <c r="L58" i="1"/>
  <c r="N57" i="1"/>
  <c r="M57" i="1"/>
  <c r="L57" i="1"/>
  <c r="N56" i="1"/>
  <c r="M56" i="1"/>
  <c r="L56" i="1"/>
  <c r="N55" i="1"/>
  <c r="M55" i="1"/>
  <c r="L55" i="1"/>
  <c r="N54" i="1"/>
  <c r="M54" i="1"/>
  <c r="L54" i="1"/>
  <c r="N53" i="1"/>
  <c r="M53" i="1"/>
  <c r="L53" i="1"/>
  <c r="N52" i="1"/>
  <c r="M52" i="1"/>
  <c r="L52" i="1"/>
  <c r="N51" i="1"/>
  <c r="M51" i="1"/>
  <c r="L51" i="1"/>
  <c r="N50" i="1"/>
  <c r="M50" i="1"/>
  <c r="L50" i="1"/>
  <c r="N49" i="1"/>
  <c r="M49" i="1"/>
  <c r="L49" i="1"/>
  <c r="N48" i="1"/>
  <c r="M48" i="1"/>
  <c r="L48" i="1"/>
  <c r="N47" i="1"/>
  <c r="M47" i="1"/>
  <c r="L47" i="1"/>
  <c r="N46" i="1"/>
  <c r="M46" i="1"/>
  <c r="L46" i="1"/>
  <c r="N45" i="1"/>
  <c r="M45" i="1"/>
  <c r="L45" i="1"/>
  <c r="N44" i="1"/>
  <c r="M44" i="1"/>
  <c r="L44" i="1"/>
  <c r="N43" i="1"/>
  <c r="M43" i="1"/>
  <c r="L43" i="1"/>
  <c r="N42" i="1"/>
  <c r="M42" i="1"/>
  <c r="L42" i="1"/>
  <c r="N41" i="1"/>
  <c r="M41" i="1"/>
  <c r="L41" i="1"/>
  <c r="N40" i="1"/>
  <c r="M40" i="1"/>
  <c r="L40" i="1"/>
  <c r="N39" i="1"/>
  <c r="M39" i="1"/>
  <c r="L39" i="1"/>
  <c r="N38" i="1"/>
  <c r="M38" i="1"/>
  <c r="L38" i="1"/>
  <c r="N37" i="1"/>
  <c r="M37" i="1"/>
  <c r="L37" i="1"/>
  <c r="N36" i="1"/>
  <c r="M36" i="1"/>
  <c r="L36" i="1"/>
  <c r="N35" i="1"/>
  <c r="M35" i="1"/>
  <c r="L35" i="1"/>
  <c r="N34" i="1"/>
  <c r="M34" i="1"/>
  <c r="L34" i="1"/>
  <c r="N33" i="1"/>
  <c r="M33" i="1"/>
  <c r="L33" i="1"/>
  <c r="N32" i="1"/>
  <c r="M32" i="1"/>
  <c r="L32" i="1"/>
  <c r="N31" i="1"/>
  <c r="M31" i="1"/>
  <c r="L31" i="1"/>
  <c r="N30" i="1"/>
  <c r="M30" i="1"/>
  <c r="L30" i="1"/>
  <c r="N29" i="1"/>
  <c r="M29" i="1"/>
  <c r="L29" i="1"/>
  <c r="N28" i="1"/>
  <c r="M28" i="1"/>
  <c r="L28" i="1"/>
  <c r="N27" i="1"/>
  <c r="M27" i="1"/>
  <c r="L27" i="1"/>
  <c r="N26" i="1"/>
  <c r="M26" i="1"/>
  <c r="L26" i="1"/>
  <c r="N25" i="1"/>
  <c r="M25" i="1"/>
  <c r="L25" i="1"/>
  <c r="N24" i="1"/>
  <c r="M24" i="1"/>
  <c r="L24" i="1"/>
  <c r="N23" i="1"/>
  <c r="M23" i="1"/>
  <c r="L23" i="1"/>
  <c r="N22" i="1"/>
  <c r="M22" i="1"/>
  <c r="L22" i="1"/>
  <c r="N21" i="1"/>
  <c r="M21" i="1"/>
  <c r="L21" i="1"/>
  <c r="N20" i="1"/>
  <c r="M20" i="1"/>
  <c r="L20" i="1"/>
  <c r="N19" i="1"/>
  <c r="M19" i="1"/>
  <c r="L19" i="1"/>
  <c r="N18" i="1"/>
  <c r="M18" i="1"/>
  <c r="L18" i="1"/>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 r="E9" i="5"/>
  <c r="J5" i="5"/>
</calcChain>
</file>

<file path=xl/sharedStrings.xml><?xml version="1.0" encoding="utf-8"?>
<sst xmlns="http://schemas.openxmlformats.org/spreadsheetml/2006/main" count="1600" uniqueCount="554">
  <si>
    <t>User_ID</t>
  </si>
  <si>
    <t>Age</t>
  </si>
  <si>
    <t>Gender</t>
  </si>
  <si>
    <t>Daily_Screen_Time(hrs)</t>
  </si>
  <si>
    <t>Sleep_Quality(1-10)</t>
  </si>
  <si>
    <t>Stress_Level(1-10)</t>
  </si>
  <si>
    <t>Days_Without_Social_Media</t>
  </si>
  <si>
    <t>Exercise_Frequency(week)</t>
  </si>
  <si>
    <t>Social_Media_Platform</t>
  </si>
  <si>
    <t>Happiness_Index(1-10)</t>
  </si>
  <si>
    <t>U001</t>
  </si>
  <si>
    <t>Male</t>
  </si>
  <si>
    <t>Facebook</t>
  </si>
  <si>
    <t>U002</t>
  </si>
  <si>
    <t>Other</t>
  </si>
  <si>
    <t>LinkedIn</t>
  </si>
  <si>
    <t>U003</t>
  </si>
  <si>
    <t>YouTube</t>
  </si>
  <si>
    <t>U004</t>
  </si>
  <si>
    <t>Female</t>
  </si>
  <si>
    <t>TikTok</t>
  </si>
  <si>
    <t>U005</t>
  </si>
  <si>
    <t>X (Twitter)</t>
  </si>
  <si>
    <t>U006</t>
  </si>
  <si>
    <t>U007</t>
  </si>
  <si>
    <t>U008</t>
  </si>
  <si>
    <t>Instagram</t>
  </si>
  <si>
    <t>U009</t>
  </si>
  <si>
    <t>U010</t>
  </si>
  <si>
    <t>U011</t>
  </si>
  <si>
    <t>U012</t>
  </si>
  <si>
    <t>U013</t>
  </si>
  <si>
    <t>U014</t>
  </si>
  <si>
    <t>U015</t>
  </si>
  <si>
    <t>U016</t>
  </si>
  <si>
    <t>U017</t>
  </si>
  <si>
    <t>U018</t>
  </si>
  <si>
    <t>U019</t>
  </si>
  <si>
    <t>U020</t>
  </si>
  <si>
    <t>U021</t>
  </si>
  <si>
    <t>U022</t>
  </si>
  <si>
    <t>U023</t>
  </si>
  <si>
    <t>U024</t>
  </si>
  <si>
    <t>U025</t>
  </si>
  <si>
    <t>U026</t>
  </si>
  <si>
    <t>U027</t>
  </si>
  <si>
    <t>U028</t>
  </si>
  <si>
    <t>U029</t>
  </si>
  <si>
    <t>U030</t>
  </si>
  <si>
    <t>U031</t>
  </si>
  <si>
    <t>U032</t>
  </si>
  <si>
    <t>U033</t>
  </si>
  <si>
    <t>U034</t>
  </si>
  <si>
    <t>U035</t>
  </si>
  <si>
    <t>U036</t>
  </si>
  <si>
    <t>U037</t>
  </si>
  <si>
    <t>U038</t>
  </si>
  <si>
    <t>U039</t>
  </si>
  <si>
    <t>U040</t>
  </si>
  <si>
    <t>U041</t>
  </si>
  <si>
    <t>U042</t>
  </si>
  <si>
    <t>U043</t>
  </si>
  <si>
    <t>U044</t>
  </si>
  <si>
    <t>U045</t>
  </si>
  <si>
    <t>U046</t>
  </si>
  <si>
    <t>U047</t>
  </si>
  <si>
    <t>U048</t>
  </si>
  <si>
    <t>U049</t>
  </si>
  <si>
    <t>U050</t>
  </si>
  <si>
    <t>U051</t>
  </si>
  <si>
    <t>U052</t>
  </si>
  <si>
    <t>U053</t>
  </si>
  <si>
    <t>U054</t>
  </si>
  <si>
    <t>U055</t>
  </si>
  <si>
    <t>U056</t>
  </si>
  <si>
    <t>U057</t>
  </si>
  <si>
    <t>U058</t>
  </si>
  <si>
    <t>U059</t>
  </si>
  <si>
    <t>U060</t>
  </si>
  <si>
    <t>U061</t>
  </si>
  <si>
    <t>U062</t>
  </si>
  <si>
    <t>U063</t>
  </si>
  <si>
    <t>U064</t>
  </si>
  <si>
    <t>U065</t>
  </si>
  <si>
    <t>U066</t>
  </si>
  <si>
    <t>U067</t>
  </si>
  <si>
    <t>U068</t>
  </si>
  <si>
    <t>U069</t>
  </si>
  <si>
    <t>U070</t>
  </si>
  <si>
    <t>U071</t>
  </si>
  <si>
    <t>U072</t>
  </si>
  <si>
    <t>U073</t>
  </si>
  <si>
    <t>U074</t>
  </si>
  <si>
    <t>U075</t>
  </si>
  <si>
    <t>U076</t>
  </si>
  <si>
    <t>U077</t>
  </si>
  <si>
    <t>U078</t>
  </si>
  <si>
    <t>U079</t>
  </si>
  <si>
    <t>U080</t>
  </si>
  <si>
    <t>U081</t>
  </si>
  <si>
    <t>U082</t>
  </si>
  <si>
    <t>U083</t>
  </si>
  <si>
    <t>U084</t>
  </si>
  <si>
    <t>U085</t>
  </si>
  <si>
    <t>U086</t>
  </si>
  <si>
    <t>U087</t>
  </si>
  <si>
    <t>U088</t>
  </si>
  <si>
    <t>U089</t>
  </si>
  <si>
    <t>U090</t>
  </si>
  <si>
    <t>U091</t>
  </si>
  <si>
    <t>U092</t>
  </si>
  <si>
    <t>U093</t>
  </si>
  <si>
    <t>U094</t>
  </si>
  <si>
    <t>U095</t>
  </si>
  <si>
    <t>U096</t>
  </si>
  <si>
    <t>U097</t>
  </si>
  <si>
    <t>U098</t>
  </si>
  <si>
    <t>U099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</si>
  <si>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</si>
  <si>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</si>
  <si>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</si>
  <si>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</si>
  <si>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</si>
  <si>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</si>
  <si>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</si>
  <si>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</si>
  <si>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</si>
  <si>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</si>
  <si>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</si>
  <si>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</si>
  <si>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</si>
  <si>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</si>
  <si>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</si>
  <si>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</si>
  <si>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</si>
  <si>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</si>
  <si>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</si>
  <si>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</si>
  <si>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</si>
  <si>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</si>
  <si>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</si>
  <si>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</si>
  <si>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</si>
  <si>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</si>
  <si>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</si>
  <si>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</si>
  <si>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</si>
  <si>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</si>
  <si>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</si>
  <si>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</si>
  <si>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</si>
  <si>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</si>
  <si>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</si>
  <si>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</si>
  <si>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</si>
  <si>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</si>
  <si>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</si>
  <si>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</si>
  <si>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</si>
  <si>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</si>
  <si>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</si>
  <si>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</si>
  <si>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</si>
  <si>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</si>
  <si>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</si>
  <si>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</si>
  <si>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</si>
  <si>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</si>
  <si>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</si>
  <si>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</si>
  <si>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</si>
  <si>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</si>
  <si>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</si>
  <si>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</si>
  <si>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</si>
  <si>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</si>
  <si>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</si>
  <si>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</si>
  <si>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</si>
  <si>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</si>
  <si>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</si>
  <si>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</si>
  <si>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</si>
  <si>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U165</t>
  </si>
  <si>
    <t>U166</t>
  </si>
  <si>
    <t>U167</t>
  </si>
  <si>
    <t>U168</t>
  </si>
  <si>
    <t>U169</t>
  </si>
  <si>
    <t>U170</t>
  </si>
  <si>
    <t>U171</t>
  </si>
  <si>
    <t>U172</t>
  </si>
  <si>
    <t>U173</t>
  </si>
  <si>
    <t>U174</t>
  </si>
  <si>
    <t>U175</t>
  </si>
  <si>
    <t>U176</t>
  </si>
  <si>
    <t>U177</t>
  </si>
  <si>
    <t>U178</t>
  </si>
  <si>
    <t>U179</t>
  </si>
  <si>
    <t>U180</t>
  </si>
  <si>
    <t>U181</t>
  </si>
  <si>
    <t>U182</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</si>
  <si>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</si>
  <si>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</si>
  <si>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</si>
  <si>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</si>
  <si>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</si>
  <si>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</si>
  <si>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</si>
  <si>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</si>
  <si>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</si>
  <si>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</si>
  <si>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</si>
  <si>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</si>
  <si>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</si>
  <si>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</si>
  <si>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</si>
  <si>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</si>
  <si>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</si>
  <si>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</si>
  <si>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</si>
  <si>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</si>
  <si>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</si>
  <si>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</si>
  <si>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</si>
  <si>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</si>
  <si>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</si>
  <si>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</si>
  <si>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U209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</si>
  <si>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</si>
  <si>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</si>
  <si>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</si>
  <si>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</si>
  <si>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</si>
  <si>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</si>
  <si>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</si>
  <si>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</si>
  <si>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</si>
  <si>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</si>
  <si>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</si>
  <si>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</si>
  <si>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</si>
  <si>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</si>
  <si>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</si>
  <si>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</si>
  <si>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</si>
  <si>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</si>
  <si>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</si>
  <si>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</si>
  <si>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</si>
  <si>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</si>
  <si>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</si>
  <si>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</si>
  <si>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</si>
  <si>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</si>
  <si>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</si>
  <si>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</si>
  <si>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</si>
  <si>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</si>
  <si>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</si>
  <si>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</si>
  <si>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</si>
  <si>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</si>
  <si>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</si>
  <si>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</si>
  <si>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</si>
  <si>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</si>
  <si>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</si>
  <si>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</si>
  <si>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</si>
  <si>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</si>
  <si>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</si>
  <si>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</si>
  <si>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</si>
  <si>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</si>
  <si>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</si>
  <si>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</si>
  <si>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</si>
  <si>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</si>
  <si>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</si>
  <si>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</si>
  <si>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</si>
  <si>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</si>
  <si>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</si>
  <si>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</si>
  <si>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</si>
  <si>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</si>
  <si>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</si>
  <si>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</si>
  <si>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</si>
  <si>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</si>
  <si>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</si>
  <si>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</si>
  <si>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</si>
  <si>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</si>
  <si>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</si>
  <si>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</si>
  <si>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</si>
  <si>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</si>
  <si>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</si>
  <si>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</si>
  <si>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</si>
  <si>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</si>
  <si>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</si>
  <si>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</si>
  <si>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</si>
  <si>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</si>
  <si>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</si>
  <si>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</si>
  <si>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</si>
  <si>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</si>
  <si>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</si>
  <si>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U293</t>
  </si>
  <si>
    <t>U294</t>
  </si>
  <si>
    <t>U295</t>
  </si>
  <si>
    <t>U296</t>
  </si>
  <si>
    <t>U297</t>
  </si>
  <si>
    <t>U298</t>
  </si>
  <si>
    <t>U299</t>
  </si>
  <si>
    <t>U300</t>
  </si>
  <si>
    <t>U301</t>
  </si>
  <si>
    <t>U302</t>
  </si>
  <si>
    <t>U303</t>
  </si>
  <si>
    <t>U304</t>
  </si>
  <si>
    <t>U305</t>
  </si>
  <si>
    <t>U306</t>
  </si>
  <si>
    <t>U307</t>
  </si>
  <si>
    <t>U308</t>
  </si>
  <si>
    <t>U309</t>
  </si>
  <si>
    <t>U310</t>
  </si>
  <si>
    <t>U311</t>
  </si>
  <si>
    <t>U312</t>
  </si>
  <si>
    <t>U313</t>
  </si>
  <si>
    <t>U314</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</si>
  <si>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</si>
  <si>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</si>
  <si>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</si>
  <si>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</si>
  <si>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</si>
  <si>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</si>
  <si>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</si>
  <si>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</si>
  <si>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</si>
  <si>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</si>
  <si>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</si>
  <si>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</si>
  <si>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</si>
  <si>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</si>
  <si>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</si>
  <si>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</si>
  <si>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</si>
  <si>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</si>
  <si>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</si>
  <si>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</si>
  <si>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</si>
  <si>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</si>
  <si>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</si>
  <si>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</si>
  <si>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</si>
  <si>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</si>
  <si>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</si>
  <si>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</si>
  <si>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</si>
  <si>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</si>
  <si>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</si>
  <si>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</si>
  <si>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U347</t>
  </si>
  <si>
    <t>U348</t>
  </si>
  <si>
    <t>U349</t>
  </si>
  <si>
    <t>U350</t>
  </si>
  <si>
    <t>U351</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</si>
  <si>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</si>
  <si>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</si>
  <si>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</si>
  <si>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</si>
  <si>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</si>
  <si>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</si>
  <si>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</si>
  <si>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</si>
  <si>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</si>
  <si>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</si>
  <si>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</si>
  <si>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</si>
  <si>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</si>
  <si>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</si>
  <si>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</si>
  <si>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</si>
  <si>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</si>
  <si>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</si>
  <si>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</si>
  <si>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</si>
  <si>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</si>
  <si>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U373</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</si>
  <si>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</si>
  <si>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</si>
  <si>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</si>
  <si>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</si>
  <si>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</si>
  <si>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</si>
  <si>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</si>
  <si>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</si>
  <si>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</si>
  <si>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</si>
  <si>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</si>
  <si>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</si>
  <si>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</si>
  <si>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</si>
  <si>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</si>
  <si>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</si>
  <si>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</si>
  <si>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</si>
  <si>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</si>
  <si>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</si>
  <si>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</si>
  <si>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</si>
  <si>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</si>
  <si>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</si>
  <si>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</si>
  <si>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</si>
  <si>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</si>
  <si>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</si>
  <si>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</si>
  <si>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</si>
  <si>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</si>
  <si>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</si>
  <si>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</si>
  <si>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</si>
  <si>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</si>
  <si>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</si>
  <si>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</si>
  <si>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</si>
  <si>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</si>
  <si>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</si>
  <si>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</si>
  <si>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</si>
  <si>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</si>
  <si>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</si>
  <si>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</si>
  <si>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</si>
  <si>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</si>
  <si>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U421</t>
  </si>
  <si>
    <t>U422</t>
  </si>
  <si>
    <t>U423</t>
  </si>
  <si>
    <t>U424</t>
  </si>
  <si>
    <t>U425</t>
  </si>
  <si>
    <t>U426</t>
  </si>
  <si>
    <t>U427</t>
  </si>
  <si>
    <t>U428</t>
  </si>
  <si>
    <t>U429</t>
  </si>
  <si>
    <t>U430</t>
  </si>
  <si>
    <t>U431</t>
  </si>
  <si>
    <t>U432</t>
  </si>
  <si>
    <t>U433</t>
  </si>
  <si>
    <t>U434</t>
  </si>
  <si>
    <t>U435</t>
  </si>
  <si>
    <t>U436</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</si>
  <si>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</si>
  <si>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</si>
  <si>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</si>
  <si>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</si>
  <si>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</si>
  <si>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</si>
  <si>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</si>
  <si>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</si>
  <si>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</si>
  <si>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</si>
  <si>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</si>
  <si>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</si>
  <si>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</si>
  <si>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</si>
  <si>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</si>
  <si>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</si>
  <si>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</si>
  <si>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</si>
  <si>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</si>
  <si>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</si>
  <si>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</si>
  <si>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</si>
  <si>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</si>
  <si>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</si>
  <si>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</si>
  <si>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</si>
  <si>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</si>
  <si>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</si>
  <si>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</si>
  <si>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</si>
  <si>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</si>
  <si>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</si>
  <si>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</si>
  <si>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</si>
  <si>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</si>
  <si>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</si>
  <si>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</si>
  <si>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</si>
  <si>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</si>
  <si>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</si>
  <si>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</si>
  <si>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</si>
  <si>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</si>
  <si>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</si>
  <si>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</si>
  <si>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</si>
  <si>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</si>
  <si>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</si>
  <si>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</si>
  <si>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</si>
  <si>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</si>
  <si>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</si>
  <si>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</si>
  <si>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</si>
  <si>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</si>
  <si>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</si>
  <si>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</si>
  <si>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</si>
  <si>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</si>
  <si>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</si>
  <si>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</si>
  <si>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</si>
  <si>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</si>
  <si>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</si>
  <si>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Grand Total</t>
  </si>
  <si>
    <t>Row Labels</t>
  </si>
  <si>
    <t>Count of Social_Media_Platform</t>
  </si>
  <si>
    <t>Age group</t>
  </si>
  <si>
    <t>Screen Time Category</t>
  </si>
  <si>
    <t>Screen time category</t>
  </si>
  <si>
    <t>Stress category</t>
  </si>
  <si>
    <t>Happiness Category</t>
  </si>
  <si>
    <t>Average of Daily_Screen_Time(hrs)</t>
  </si>
  <si>
    <t>Average Screen Time(Hrs)</t>
  </si>
  <si>
    <t>High</t>
  </si>
  <si>
    <t>Low</t>
  </si>
  <si>
    <t>Medium</t>
  </si>
  <si>
    <t>Count of Users</t>
  </si>
  <si>
    <t>Normal</t>
  </si>
  <si>
    <t>Count of Happiness Category</t>
  </si>
  <si>
    <t>Happiness index category</t>
  </si>
  <si>
    <t>Count of users</t>
  </si>
  <si>
    <t>Screen time Category</t>
  </si>
  <si>
    <t>Count of user</t>
  </si>
  <si>
    <t>Stess category</t>
  </si>
  <si>
    <t>Average of Sleep_Quality</t>
  </si>
  <si>
    <t>Average of Exercise_Frequency(week)</t>
  </si>
  <si>
    <t>Social Media</t>
  </si>
  <si>
    <t>26–35</t>
  </si>
  <si>
    <t>36–45</t>
  </si>
  <si>
    <t>46+</t>
  </si>
  <si>
    <t>High Stress Users (%)</t>
  </si>
  <si>
    <t>(High Stress Count / Total Users) × 100</t>
  </si>
  <si>
    <t>Average of Sleep_Quality(1-10)</t>
  </si>
  <si>
    <t>Column1</t>
  </si>
  <si>
    <t>Column2</t>
  </si>
  <si>
    <t>Column3</t>
  </si>
  <si>
    <t>% of High Happiness Users</t>
  </si>
  <si>
    <t>15–25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</si>
</sst>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8"/>
      <name val="Century Gothic"/>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9.9978637043366805E-2"/>
        <bgColor indexed="64"/>
      </patternFill>
    </fill>
    <fill>
      <patternFill patternType="solid">
        <fgColor theme="4" tint="0.79998168889431442"/>
        <bgColor indexed="64"/>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33" borderId="0" xfId="0" applyFill="1"/>
    <xf numFmtId="0" fontId="17" fillId="34" borderId="0" xfId="0" applyFont="1" applyFill="1"/>
    <xf numFmtId="0" fontId="17" fillId="36" borderId="0" xfId="0" applyFon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theme="0"/>
      </font>
    </dxf>
    <dxf>
      <fill>
        <patternFill>
          <bgColor theme="4"/>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0"/>
      </font>
    </dxf>
    <dxf>
      <fill>
        <patternFill>
          <bgColor theme="3" tint="9.9978637043366805E-2"/>
        </patternFill>
      </fill>
    </dxf>
    <dxf>
      <fill>
        <patternFill patternType="solid">
          <bgColor rgb="FFFFFF00"/>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2">
                    <a:lumMod val="75000"/>
                    <a:lumOff val="25000"/>
                  </a:schemeClr>
                </a:solidFill>
              </a:rPr>
              <a:t>User Distribution by Screen Time Category</a:t>
            </a:r>
            <a:endParaRPr lang="en-US" sz="1400" b="1" i="0" u="none" strike="noStrike" kern="1200" spc="0" baseline="0">
              <a:solidFill>
                <a:schemeClr val="tx2">
                  <a:lumMod val="75000"/>
                  <a:lumOff val="25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A9-4813-BBB6-8C8C1CB33B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A9-4813-BBB6-8C8C1CB33B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A9-4813-BBB6-8C8C1CB33BDA}"/>
              </c:ext>
            </c:extLst>
          </c:dPt>
          <c:cat>
            <c:strRef>
              <c:f>Sheet5!$A$4:$A$7</c:f>
              <c:strCache>
                <c:ptCount val="3"/>
                <c:pt idx="0">
                  <c:v>High</c:v>
                </c:pt>
                <c:pt idx="1">
                  <c:v>Low</c:v>
                </c:pt>
                <c:pt idx="2">
                  <c:v>Medium</c:v>
                </c:pt>
              </c:strCache>
            </c:strRef>
          </c:cat>
          <c:val>
            <c:numRef>
              <c:f>Sheet5!$B$4:$B$7</c:f>
              <c:numCache>
                <c:formatCode>General</c:formatCode>
                <c:ptCount val="3"/>
                <c:pt idx="0">
                  <c:v>204</c:v>
                </c:pt>
                <c:pt idx="1">
                  <c:v>40</c:v>
                </c:pt>
                <c:pt idx="2">
                  <c:v>256</c:v>
                </c:pt>
              </c:numCache>
            </c:numRef>
          </c:val>
          <c:extLst>
            <c:ext xmlns:c16="http://schemas.microsoft.com/office/drawing/2014/chart" uri="{C3380CC4-5D6E-409C-BE32-E72D297353CC}">
              <c16:uniqueId val="{00000000-228C-4B45-B8ED-757E76D162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User Distribution by Stress Level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0E-43B9-BF1B-57951C54AB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0E-43B9-BF1B-57951C54AB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0E-43B9-BF1B-57951C54AB3A}"/>
              </c:ext>
            </c:extLst>
          </c:dPt>
          <c:cat>
            <c:strRef>
              <c:f>Sheet5!$A$12:$A$15</c:f>
              <c:strCache>
                <c:ptCount val="3"/>
                <c:pt idx="0">
                  <c:v>High</c:v>
                </c:pt>
                <c:pt idx="1">
                  <c:v>Low</c:v>
                </c:pt>
                <c:pt idx="2">
                  <c:v>Medium</c:v>
                </c:pt>
              </c:strCache>
            </c:strRef>
          </c:cat>
          <c:val>
            <c:numRef>
              <c:f>Sheet5!$B$12:$B$15</c:f>
              <c:numCache>
                <c:formatCode>General</c:formatCode>
                <c:ptCount val="3"/>
                <c:pt idx="0">
                  <c:v>143</c:v>
                </c:pt>
                <c:pt idx="1">
                  <c:v>43</c:v>
                </c:pt>
                <c:pt idx="2">
                  <c:v>314</c:v>
                </c:pt>
              </c:numCache>
            </c:numRef>
          </c:val>
          <c:extLst>
            <c:ext xmlns:c16="http://schemas.microsoft.com/office/drawing/2014/chart" uri="{C3380CC4-5D6E-409C-BE32-E72D297353CC}">
              <c16:uniqueId val="{00000000-022D-4CAE-B679-3F616CEF67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User Distribution by Happiness Index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7D-4174-B833-7B0D0D4298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7D-4174-B833-7B0D0D4298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7D-4174-B833-7B0D0D429882}"/>
              </c:ext>
            </c:extLst>
          </c:dPt>
          <c:cat>
            <c:strRef>
              <c:f>Sheet5!$A$20:$A$23</c:f>
              <c:strCache>
                <c:ptCount val="3"/>
                <c:pt idx="0">
                  <c:v>High</c:v>
                </c:pt>
                <c:pt idx="1">
                  <c:v>Low</c:v>
                </c:pt>
                <c:pt idx="2">
                  <c:v>Normal</c:v>
                </c:pt>
              </c:strCache>
            </c:strRef>
          </c:cat>
          <c:val>
            <c:numRef>
              <c:f>Sheet5!$B$20:$B$23</c:f>
              <c:numCache>
                <c:formatCode>General</c:formatCode>
                <c:ptCount val="3"/>
                <c:pt idx="0">
                  <c:v>361</c:v>
                </c:pt>
                <c:pt idx="1">
                  <c:v>7</c:v>
                </c:pt>
                <c:pt idx="2">
                  <c:v>132</c:v>
                </c:pt>
              </c:numCache>
            </c:numRef>
          </c:val>
          <c:extLst>
            <c:ext xmlns:c16="http://schemas.microsoft.com/office/drawing/2014/chart" uri="{C3380CC4-5D6E-409C-BE32-E72D297353CC}">
              <c16:uniqueId val="{00000000-7674-4831-B708-4E87CC8C55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Average Sleep Quality by Screen Time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Sheet5!$B$27</c:f>
              <c:strCache>
                <c:ptCount val="1"/>
                <c:pt idx="0">
                  <c:v>Total</c:v>
                </c:pt>
              </c:strCache>
            </c:strRef>
          </c:tx>
          <c:spPr>
            <a:solidFill>
              <a:schemeClr val="accent1"/>
            </a:solidFill>
            <a:ln>
              <a:noFill/>
            </a:ln>
            <a:effectLst/>
          </c:spPr>
          <c:invertIfNegative val="0"/>
          <c:cat>
            <c:strRef>
              <c:f>Sheet5!$A$28:$A$31</c:f>
              <c:strCache>
                <c:ptCount val="3"/>
                <c:pt idx="0">
                  <c:v>High</c:v>
                </c:pt>
                <c:pt idx="1">
                  <c:v>Low</c:v>
                </c:pt>
                <c:pt idx="2">
                  <c:v>Medium</c:v>
                </c:pt>
              </c:strCache>
            </c:strRef>
          </c:cat>
          <c:val>
            <c:numRef>
              <c:f>Sheet5!$B$28:$B$31</c:f>
              <c:numCache>
                <c:formatCode>General</c:formatCode>
                <c:ptCount val="3"/>
                <c:pt idx="0">
                  <c:v>5.1911764705882355</c:v>
                </c:pt>
                <c:pt idx="1">
                  <c:v>8.375</c:v>
                </c:pt>
                <c:pt idx="2">
                  <c:v>6.8671875</c:v>
                </c:pt>
              </c:numCache>
            </c:numRef>
          </c:val>
          <c:extLst>
            <c:ext xmlns:c16="http://schemas.microsoft.com/office/drawing/2014/chart" uri="{C3380CC4-5D6E-409C-BE32-E72D297353CC}">
              <c16:uniqueId val="{00000000-AF72-4B75-9136-DCAAEBB8E098}"/>
            </c:ext>
          </c:extLst>
        </c:ser>
        <c:dLbls>
          <c:showLegendKey val="0"/>
          <c:showVal val="0"/>
          <c:showCatName val="0"/>
          <c:showSerName val="0"/>
          <c:showPercent val="0"/>
          <c:showBubbleSize val="0"/>
        </c:dLbls>
        <c:gapWidth val="219"/>
        <c:overlap val="-27"/>
        <c:axId val="640944400"/>
        <c:axId val="640944880"/>
      </c:barChart>
      <c:catAx>
        <c:axId val="64094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44880"/>
        <c:crosses val="autoZero"/>
        <c:auto val="1"/>
        <c:lblAlgn val="ctr"/>
        <c:lblOffset val="100"/>
        <c:noMultiLvlLbl val="0"/>
      </c:catAx>
      <c:valAx>
        <c:axId val="64094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Average Exercise Frequency by Screen Time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Sheet5!$B$35</c:f>
              <c:strCache>
                <c:ptCount val="1"/>
                <c:pt idx="0">
                  <c:v>Total</c:v>
                </c:pt>
              </c:strCache>
            </c:strRef>
          </c:tx>
          <c:spPr>
            <a:solidFill>
              <a:schemeClr val="accent1"/>
            </a:solidFill>
            <a:ln>
              <a:noFill/>
            </a:ln>
            <a:effectLst/>
          </c:spPr>
          <c:invertIfNegative val="0"/>
          <c:cat>
            <c:strRef>
              <c:f>Sheet5!$A$36:$A$39</c:f>
              <c:strCache>
                <c:ptCount val="3"/>
                <c:pt idx="0">
                  <c:v>High</c:v>
                </c:pt>
                <c:pt idx="1">
                  <c:v>Low</c:v>
                </c:pt>
                <c:pt idx="2">
                  <c:v>Medium</c:v>
                </c:pt>
              </c:strCache>
            </c:strRef>
          </c:cat>
          <c:val>
            <c:numRef>
              <c:f>Sheet5!$B$36:$B$39</c:f>
              <c:numCache>
                <c:formatCode>General</c:formatCode>
                <c:ptCount val="3"/>
                <c:pt idx="0">
                  <c:v>2.3725490196078431</c:v>
                </c:pt>
                <c:pt idx="1">
                  <c:v>2.9</c:v>
                </c:pt>
                <c:pt idx="2">
                  <c:v>2.4296875</c:v>
                </c:pt>
              </c:numCache>
            </c:numRef>
          </c:val>
          <c:extLst>
            <c:ext xmlns:c16="http://schemas.microsoft.com/office/drawing/2014/chart" uri="{C3380CC4-5D6E-409C-BE32-E72D297353CC}">
              <c16:uniqueId val="{00000000-99C7-4279-BC5D-888687372E6E}"/>
            </c:ext>
          </c:extLst>
        </c:ser>
        <c:dLbls>
          <c:showLegendKey val="0"/>
          <c:showVal val="0"/>
          <c:showCatName val="0"/>
          <c:showSerName val="0"/>
          <c:showPercent val="0"/>
          <c:showBubbleSize val="0"/>
        </c:dLbls>
        <c:gapWidth val="219"/>
        <c:overlap val="-27"/>
        <c:axId val="610689440"/>
        <c:axId val="610694240"/>
      </c:barChart>
      <c:catAx>
        <c:axId val="6106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94240"/>
        <c:crosses val="autoZero"/>
        <c:auto val="1"/>
        <c:lblAlgn val="ctr"/>
        <c:lblOffset val="100"/>
        <c:noMultiLvlLbl val="0"/>
      </c:catAx>
      <c:valAx>
        <c:axId val="61069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Most Used Social Media Platforms</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Sheet5!$B$43</c:f>
              <c:strCache>
                <c:ptCount val="1"/>
                <c:pt idx="0">
                  <c:v>Total</c:v>
                </c:pt>
              </c:strCache>
            </c:strRef>
          </c:tx>
          <c:spPr>
            <a:solidFill>
              <a:schemeClr val="accent1"/>
            </a:solidFill>
            <a:ln>
              <a:noFill/>
            </a:ln>
            <a:effectLst/>
          </c:spPr>
          <c:invertIfNegative val="0"/>
          <c:cat>
            <c:strRef>
              <c:f>Sheet5!$A$44:$A$50</c:f>
              <c:strCache>
                <c:ptCount val="6"/>
                <c:pt idx="0">
                  <c:v>TikTok</c:v>
                </c:pt>
                <c:pt idx="1">
                  <c:v>X (Twitter)</c:v>
                </c:pt>
                <c:pt idx="2">
                  <c:v>LinkedIn</c:v>
                </c:pt>
                <c:pt idx="3">
                  <c:v>Facebook</c:v>
                </c:pt>
                <c:pt idx="4">
                  <c:v>YouTube</c:v>
                </c:pt>
                <c:pt idx="5">
                  <c:v>Instagram</c:v>
                </c:pt>
              </c:strCache>
            </c:strRef>
          </c:cat>
          <c:val>
            <c:numRef>
              <c:f>Sheet5!$B$44:$B$50</c:f>
              <c:numCache>
                <c:formatCode>General</c:formatCode>
                <c:ptCount val="6"/>
                <c:pt idx="0">
                  <c:v>95</c:v>
                </c:pt>
                <c:pt idx="1">
                  <c:v>88</c:v>
                </c:pt>
                <c:pt idx="2">
                  <c:v>87</c:v>
                </c:pt>
                <c:pt idx="3">
                  <c:v>81</c:v>
                </c:pt>
                <c:pt idx="4">
                  <c:v>75</c:v>
                </c:pt>
                <c:pt idx="5">
                  <c:v>74</c:v>
                </c:pt>
              </c:numCache>
            </c:numRef>
          </c:val>
          <c:extLst>
            <c:ext xmlns:c16="http://schemas.microsoft.com/office/drawing/2014/chart" uri="{C3380CC4-5D6E-409C-BE32-E72D297353CC}">
              <c16:uniqueId val="{00000000-7C8B-4A32-B000-A61E26BBB824}"/>
            </c:ext>
          </c:extLst>
        </c:ser>
        <c:dLbls>
          <c:showLegendKey val="0"/>
          <c:showVal val="0"/>
          <c:showCatName val="0"/>
          <c:showSerName val="0"/>
          <c:showPercent val="0"/>
          <c:showBubbleSize val="0"/>
        </c:dLbls>
        <c:gapWidth val="182"/>
        <c:axId val="997105151"/>
        <c:axId val="997106591"/>
      </c:barChart>
      <c:catAx>
        <c:axId val="99710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06591"/>
        <c:crosses val="autoZero"/>
        <c:auto val="1"/>
        <c:lblAlgn val="ctr"/>
        <c:lblOffset val="100"/>
        <c:noMultiLvlLbl val="0"/>
      </c:catAx>
      <c:valAx>
        <c:axId val="997106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0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Average Daily Screen Time by Age Group</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Sheet5!$B$55</c:f>
              <c:strCache>
                <c:ptCount val="1"/>
                <c:pt idx="0">
                  <c:v>Total</c:v>
                </c:pt>
              </c:strCache>
            </c:strRef>
          </c:tx>
          <c:spPr>
            <a:ln w="28575" cap="rnd">
              <a:solidFill>
                <a:schemeClr val="accent1"/>
              </a:solidFill>
              <a:round/>
            </a:ln>
            <a:effectLst/>
          </c:spPr>
          <c:marker>
            <c:symbol val="none"/>
          </c:marker>
          <c:cat>
            <c:strRef>
              <c:f>Sheet5!$A$56:$A$60</c:f>
              <c:strCache>
                <c:ptCount val="4"/>
                <c:pt idx="0">
                  <c:v>46+</c:v>
                </c:pt>
                <c:pt idx="1">
                  <c:v>36–45</c:v>
                </c:pt>
                <c:pt idx="2">
                  <c:v>26–35</c:v>
                </c:pt>
                <c:pt idx="3">
                  <c:v>15–25</c:v>
                </c:pt>
              </c:strCache>
            </c:strRef>
          </c:cat>
          <c:val>
            <c:numRef>
              <c:f>Sheet5!$B$56:$B$60</c:f>
              <c:numCache>
                <c:formatCode>General</c:formatCode>
                <c:ptCount val="4"/>
                <c:pt idx="0">
                  <c:v>5.7499999999999991</c:v>
                </c:pt>
                <c:pt idx="1">
                  <c:v>5.4060975609756117</c:v>
                </c:pt>
                <c:pt idx="2">
                  <c:v>5.7194029850746269</c:v>
                </c:pt>
                <c:pt idx="3">
                  <c:v>5.3964285714285714</c:v>
                </c:pt>
              </c:numCache>
            </c:numRef>
          </c:val>
          <c:smooth val="0"/>
          <c:extLst>
            <c:ext xmlns:c16="http://schemas.microsoft.com/office/drawing/2014/chart" uri="{C3380CC4-5D6E-409C-BE32-E72D297353CC}">
              <c16:uniqueId val="{00000000-9DDC-460C-BAF2-9DF49BD9C5C8}"/>
            </c:ext>
          </c:extLst>
        </c:ser>
        <c:dLbls>
          <c:showLegendKey val="0"/>
          <c:showVal val="0"/>
          <c:showCatName val="0"/>
          <c:showSerName val="0"/>
          <c:showPercent val="0"/>
          <c:showBubbleSize val="0"/>
        </c:dLbls>
        <c:smooth val="0"/>
        <c:axId val="972903727"/>
        <c:axId val="972897007"/>
      </c:lineChart>
      <c:catAx>
        <c:axId val="97290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97007"/>
        <c:crosses val="autoZero"/>
        <c:auto val="1"/>
        <c:lblAlgn val="ctr"/>
        <c:lblOffset val="100"/>
        <c:noMultiLvlLbl val="0"/>
      </c:catAx>
      <c:valAx>
        <c:axId val="9728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0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2">
                    <a:lumMod val="75000"/>
                    <a:lumOff val="25000"/>
                  </a:schemeClr>
                </a:solidFill>
              </a:rPr>
              <a:t>User Distribution by Screen Time Category</a:t>
            </a:r>
            <a:endParaRPr lang="en-US" sz="1400" b="1" i="0" u="none" strike="noStrike" kern="1200" spc="0" baseline="0">
              <a:solidFill>
                <a:schemeClr val="tx2">
                  <a:lumMod val="75000"/>
                  <a:lumOff val="25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3844985092882808"/>
          <c:y val="0.37217291694470395"/>
          <c:w val="0.44640158754427539"/>
          <c:h val="0.51954083070124712"/>
        </c:manualLayout>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33-436D-98D8-5ED5D09950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33-436D-98D8-5ED5D09950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33-436D-98D8-5ED5D0995071}"/>
              </c:ext>
            </c:extLst>
          </c:dPt>
          <c:cat>
            <c:strRef>
              <c:f>Sheet5!$A$4:$A$7</c:f>
              <c:strCache>
                <c:ptCount val="3"/>
                <c:pt idx="0">
                  <c:v>High</c:v>
                </c:pt>
                <c:pt idx="1">
                  <c:v>Low</c:v>
                </c:pt>
                <c:pt idx="2">
                  <c:v>Medium</c:v>
                </c:pt>
              </c:strCache>
            </c:strRef>
          </c:cat>
          <c:val>
            <c:numRef>
              <c:f>Sheet5!$B$4:$B$7</c:f>
              <c:numCache>
                <c:formatCode>General</c:formatCode>
                <c:ptCount val="3"/>
                <c:pt idx="0">
                  <c:v>204</c:v>
                </c:pt>
                <c:pt idx="1">
                  <c:v>40</c:v>
                </c:pt>
                <c:pt idx="2">
                  <c:v>256</c:v>
                </c:pt>
              </c:numCache>
            </c:numRef>
          </c:val>
          <c:extLst>
            <c:ext xmlns:c16="http://schemas.microsoft.com/office/drawing/2014/chart" uri="{C3380CC4-5D6E-409C-BE32-E72D297353CC}">
              <c16:uniqueId val="{00000006-C133-436D-98D8-5ED5D099507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74"/>
          <c:y val="0.54658443212349939"/>
          <c:w val="0.33333333333333331"/>
          <c:h val="0.321276537917967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User Distribution by Stress Level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Sheet5!$B$11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2D-40F5-A844-B745AF9147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2D-40F5-A844-B745AF9147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2D-40F5-A844-B745AF914723}"/>
              </c:ext>
            </c:extLst>
          </c:dPt>
          <c:cat>
            <c:strRef>
              <c:f>Sheet5!$A$12:$A$15</c:f>
              <c:strCache>
                <c:ptCount val="3"/>
                <c:pt idx="0">
                  <c:v>High</c:v>
                </c:pt>
                <c:pt idx="1">
                  <c:v>Low</c:v>
                </c:pt>
                <c:pt idx="2">
                  <c:v>Medium</c:v>
                </c:pt>
              </c:strCache>
            </c:strRef>
          </c:cat>
          <c:val>
            <c:numRef>
              <c:f>Sheet5!$B$12:$B$15</c:f>
              <c:numCache>
                <c:formatCode>General</c:formatCode>
                <c:ptCount val="3"/>
                <c:pt idx="0">
                  <c:v>143</c:v>
                </c:pt>
                <c:pt idx="1">
                  <c:v>43</c:v>
                </c:pt>
                <c:pt idx="2">
                  <c:v>314</c:v>
                </c:pt>
              </c:numCache>
            </c:numRef>
          </c:val>
          <c:extLst>
            <c:ext xmlns:c16="http://schemas.microsoft.com/office/drawing/2014/chart" uri="{C3380CC4-5D6E-409C-BE32-E72D297353CC}">
              <c16:uniqueId val="{00000006-422D-40F5-A844-B745AF9147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User Distribution by Happiness Index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Sheet5!$B$19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A1-4189-B493-7E45659463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A1-4189-B493-7E45659463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A1-4189-B493-7E4565946332}"/>
              </c:ext>
            </c:extLst>
          </c:dPt>
          <c:cat>
            <c:strRef>
              <c:f>Sheet5!$A$20:$A$23</c:f>
              <c:strCache>
                <c:ptCount val="3"/>
                <c:pt idx="0">
                  <c:v>High</c:v>
                </c:pt>
                <c:pt idx="1">
                  <c:v>Low</c:v>
                </c:pt>
                <c:pt idx="2">
                  <c:v>Normal</c:v>
                </c:pt>
              </c:strCache>
            </c:strRef>
          </c:cat>
          <c:val>
            <c:numRef>
              <c:f>Sheet5!$B$20:$B$23</c:f>
              <c:numCache>
                <c:formatCode>General</c:formatCode>
                <c:ptCount val="3"/>
                <c:pt idx="0">
                  <c:v>361</c:v>
                </c:pt>
                <c:pt idx="1">
                  <c:v>7</c:v>
                </c:pt>
                <c:pt idx="2">
                  <c:v>132</c:v>
                </c:pt>
              </c:numCache>
            </c:numRef>
          </c:val>
          <c:extLst>
            <c:ext xmlns:c16="http://schemas.microsoft.com/office/drawing/2014/chart" uri="{C3380CC4-5D6E-409C-BE32-E72D297353CC}">
              <c16:uniqueId val="{00000006-9DA1-4189-B493-7E45659463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Average Sleep Quality by Screen Time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Sheet5!$B$27</c:f>
              <c:strCache>
                <c:ptCount val="1"/>
                <c:pt idx="0">
                  <c:v>Total</c:v>
                </c:pt>
              </c:strCache>
            </c:strRef>
          </c:tx>
          <c:spPr>
            <a:solidFill>
              <a:schemeClr val="accent1"/>
            </a:solidFill>
            <a:ln>
              <a:noFill/>
            </a:ln>
            <a:effectLst/>
          </c:spPr>
          <c:invertIfNegative val="0"/>
          <c:cat>
            <c:strRef>
              <c:f>Sheet5!$A$28:$A$31</c:f>
              <c:strCache>
                <c:ptCount val="3"/>
                <c:pt idx="0">
                  <c:v>High</c:v>
                </c:pt>
                <c:pt idx="1">
                  <c:v>Low</c:v>
                </c:pt>
                <c:pt idx="2">
                  <c:v>Medium</c:v>
                </c:pt>
              </c:strCache>
            </c:strRef>
          </c:cat>
          <c:val>
            <c:numRef>
              <c:f>Sheet5!$B$28:$B$31</c:f>
              <c:numCache>
                <c:formatCode>General</c:formatCode>
                <c:ptCount val="3"/>
                <c:pt idx="0">
                  <c:v>5.1911764705882355</c:v>
                </c:pt>
                <c:pt idx="1">
                  <c:v>8.375</c:v>
                </c:pt>
                <c:pt idx="2">
                  <c:v>6.8671875</c:v>
                </c:pt>
              </c:numCache>
            </c:numRef>
          </c:val>
          <c:extLst>
            <c:ext xmlns:c16="http://schemas.microsoft.com/office/drawing/2014/chart" uri="{C3380CC4-5D6E-409C-BE32-E72D297353CC}">
              <c16:uniqueId val="{00000000-A8A9-4B0A-9485-553680D841EA}"/>
            </c:ext>
          </c:extLst>
        </c:ser>
        <c:dLbls>
          <c:showLegendKey val="0"/>
          <c:showVal val="0"/>
          <c:showCatName val="0"/>
          <c:showSerName val="0"/>
          <c:showPercent val="0"/>
          <c:showBubbleSize val="0"/>
        </c:dLbls>
        <c:gapWidth val="219"/>
        <c:overlap val="-27"/>
        <c:axId val="640944400"/>
        <c:axId val="640944880"/>
      </c:barChart>
      <c:catAx>
        <c:axId val="64094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44880"/>
        <c:crosses val="autoZero"/>
        <c:auto val="1"/>
        <c:lblAlgn val="ctr"/>
        <c:lblOffset val="100"/>
        <c:noMultiLvlLbl val="0"/>
      </c:catAx>
      <c:valAx>
        <c:axId val="6409448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Average Exercise Frequency by Screen Time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Sheet5!$B$35</c:f>
              <c:strCache>
                <c:ptCount val="1"/>
                <c:pt idx="0">
                  <c:v>Total</c:v>
                </c:pt>
              </c:strCache>
            </c:strRef>
          </c:tx>
          <c:spPr>
            <a:solidFill>
              <a:schemeClr val="accent1"/>
            </a:solidFill>
            <a:ln>
              <a:noFill/>
            </a:ln>
            <a:effectLst/>
          </c:spPr>
          <c:invertIfNegative val="0"/>
          <c:cat>
            <c:strRef>
              <c:f>Sheet5!$A$36:$A$39</c:f>
              <c:strCache>
                <c:ptCount val="3"/>
                <c:pt idx="0">
                  <c:v>High</c:v>
                </c:pt>
                <c:pt idx="1">
                  <c:v>Low</c:v>
                </c:pt>
                <c:pt idx="2">
                  <c:v>Medium</c:v>
                </c:pt>
              </c:strCache>
            </c:strRef>
          </c:cat>
          <c:val>
            <c:numRef>
              <c:f>Sheet5!$B$36:$B$39</c:f>
              <c:numCache>
                <c:formatCode>General</c:formatCode>
                <c:ptCount val="3"/>
                <c:pt idx="0">
                  <c:v>2.3725490196078431</c:v>
                </c:pt>
                <c:pt idx="1">
                  <c:v>2.9</c:v>
                </c:pt>
                <c:pt idx="2">
                  <c:v>2.4296875</c:v>
                </c:pt>
              </c:numCache>
            </c:numRef>
          </c:val>
          <c:extLst>
            <c:ext xmlns:c16="http://schemas.microsoft.com/office/drawing/2014/chart" uri="{C3380CC4-5D6E-409C-BE32-E72D297353CC}">
              <c16:uniqueId val="{00000000-78D9-4A7B-8A26-EC0973B4FC7A}"/>
            </c:ext>
          </c:extLst>
        </c:ser>
        <c:dLbls>
          <c:showLegendKey val="0"/>
          <c:showVal val="0"/>
          <c:showCatName val="0"/>
          <c:showSerName val="0"/>
          <c:showPercent val="0"/>
          <c:showBubbleSize val="0"/>
        </c:dLbls>
        <c:gapWidth val="219"/>
        <c:overlap val="-27"/>
        <c:axId val="610689440"/>
        <c:axId val="610694240"/>
      </c:barChart>
      <c:catAx>
        <c:axId val="6106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94240"/>
        <c:crosses val="autoZero"/>
        <c:auto val="1"/>
        <c:lblAlgn val="ctr"/>
        <c:lblOffset val="100"/>
        <c:noMultiLvlLbl val="0"/>
      </c:catAx>
      <c:valAx>
        <c:axId val="6106942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Most Used Social Media Platforms</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a:solidFill>
              <a:schemeClr val="accent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53975">
            <a:solidFill>
              <a:schemeClr val="accent1">
                <a:alpha val="9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3975">
            <a:solidFill>
              <a:schemeClr val="accent1">
                <a:alpha val="9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3975">
            <a:solidFill>
              <a:schemeClr val="accent1">
                <a:alpha val="9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53975">
            <a:solidFill>
              <a:schemeClr val="accent1">
                <a:alpha val="9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53975">
            <a:solidFill>
              <a:schemeClr val="accent1">
                <a:alpha val="9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53975">
            <a:solidFill>
              <a:schemeClr val="accent1">
                <a:alpha val="9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Sheet5!$B$43</c:f>
              <c:strCache>
                <c:ptCount val="1"/>
                <c:pt idx="0">
                  <c:v>Total</c:v>
                </c:pt>
              </c:strCache>
            </c:strRef>
          </c:tx>
          <c:spPr>
            <a:solidFill>
              <a:schemeClr val="accent1"/>
            </a:solidFill>
            <a:ln w="53975">
              <a:solidFill>
                <a:schemeClr val="accent1">
                  <a:alpha val="91000"/>
                </a:schemeClr>
              </a:solidFill>
            </a:ln>
            <a:effectLst/>
          </c:spPr>
          <c:invertIfNegative val="0"/>
          <c:dPt>
            <c:idx val="0"/>
            <c:invertIfNegative val="0"/>
            <c:bubble3D val="0"/>
            <c:spPr>
              <a:solidFill>
                <a:schemeClr val="accent1"/>
              </a:solidFill>
              <a:ln w="53975">
                <a:solidFill>
                  <a:schemeClr val="accent1">
                    <a:alpha val="91000"/>
                  </a:schemeClr>
                </a:solidFill>
              </a:ln>
              <a:effectLst/>
            </c:spPr>
            <c:extLst>
              <c:ext xmlns:c16="http://schemas.microsoft.com/office/drawing/2014/chart" uri="{C3380CC4-5D6E-409C-BE32-E72D297353CC}">
                <c16:uniqueId val="{00000006-599D-42F9-90B4-8EFD481AD0E3}"/>
              </c:ext>
            </c:extLst>
          </c:dPt>
          <c:dPt>
            <c:idx val="1"/>
            <c:invertIfNegative val="0"/>
            <c:bubble3D val="0"/>
            <c:spPr>
              <a:solidFill>
                <a:schemeClr val="accent1"/>
              </a:solidFill>
              <a:ln w="53975">
                <a:solidFill>
                  <a:schemeClr val="accent1">
                    <a:alpha val="91000"/>
                  </a:schemeClr>
                </a:solidFill>
              </a:ln>
              <a:effectLst/>
            </c:spPr>
            <c:extLst>
              <c:ext xmlns:c16="http://schemas.microsoft.com/office/drawing/2014/chart" uri="{C3380CC4-5D6E-409C-BE32-E72D297353CC}">
                <c16:uniqueId val="{00000002-9A7B-4BA7-8270-88A255DBC613}"/>
              </c:ext>
            </c:extLst>
          </c:dPt>
          <c:dPt>
            <c:idx val="2"/>
            <c:invertIfNegative val="0"/>
            <c:bubble3D val="0"/>
            <c:spPr>
              <a:solidFill>
                <a:schemeClr val="accent1"/>
              </a:solidFill>
              <a:ln w="53975">
                <a:solidFill>
                  <a:schemeClr val="accent1">
                    <a:alpha val="91000"/>
                  </a:schemeClr>
                </a:solidFill>
              </a:ln>
              <a:effectLst/>
            </c:spPr>
            <c:extLst>
              <c:ext xmlns:c16="http://schemas.microsoft.com/office/drawing/2014/chart" uri="{C3380CC4-5D6E-409C-BE32-E72D297353CC}">
                <c16:uniqueId val="{00000003-9A7B-4BA7-8270-88A255DBC613}"/>
              </c:ext>
            </c:extLst>
          </c:dPt>
          <c:dPt>
            <c:idx val="3"/>
            <c:invertIfNegative val="0"/>
            <c:bubble3D val="0"/>
            <c:spPr>
              <a:solidFill>
                <a:schemeClr val="accent1"/>
              </a:solidFill>
              <a:ln w="53975">
                <a:solidFill>
                  <a:schemeClr val="accent1">
                    <a:alpha val="91000"/>
                  </a:schemeClr>
                </a:solidFill>
              </a:ln>
              <a:effectLst/>
            </c:spPr>
            <c:extLst>
              <c:ext xmlns:c16="http://schemas.microsoft.com/office/drawing/2014/chart" uri="{C3380CC4-5D6E-409C-BE32-E72D297353CC}">
                <c16:uniqueId val="{00000004-9A7B-4BA7-8270-88A255DBC613}"/>
              </c:ext>
            </c:extLst>
          </c:dPt>
          <c:dPt>
            <c:idx val="4"/>
            <c:invertIfNegative val="0"/>
            <c:bubble3D val="0"/>
            <c:spPr>
              <a:solidFill>
                <a:schemeClr val="accent1"/>
              </a:solidFill>
              <a:ln w="53975">
                <a:solidFill>
                  <a:schemeClr val="accent1">
                    <a:alpha val="91000"/>
                  </a:schemeClr>
                </a:solidFill>
              </a:ln>
              <a:effectLst/>
            </c:spPr>
            <c:extLst>
              <c:ext xmlns:c16="http://schemas.microsoft.com/office/drawing/2014/chart" uri="{C3380CC4-5D6E-409C-BE32-E72D297353CC}">
                <c16:uniqueId val="{00000001-9A7B-4BA7-8270-88A255DBC613}"/>
              </c:ext>
            </c:extLst>
          </c:dPt>
          <c:dPt>
            <c:idx val="5"/>
            <c:invertIfNegative val="0"/>
            <c:bubble3D val="0"/>
            <c:spPr>
              <a:solidFill>
                <a:schemeClr val="accent1"/>
              </a:solidFill>
              <a:ln w="53975">
                <a:solidFill>
                  <a:schemeClr val="accent1">
                    <a:alpha val="91000"/>
                  </a:schemeClr>
                </a:solidFill>
              </a:ln>
              <a:effectLst/>
            </c:spPr>
            <c:extLst>
              <c:ext xmlns:c16="http://schemas.microsoft.com/office/drawing/2014/chart" uri="{C3380CC4-5D6E-409C-BE32-E72D297353CC}">
                <c16:uniqueId val="{00000005-9A7B-4BA7-8270-88A255DBC613}"/>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9D-42F9-90B4-8EFD481AD0E3}"/>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7B-4BA7-8270-88A255DBC613}"/>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7B-4BA7-8270-88A255DBC613}"/>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7B-4BA7-8270-88A255DBC613}"/>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7B-4BA7-8270-88A255DBC613}"/>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7B-4BA7-8270-88A255DBC6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Sheet5!$A$44:$A$50</c:f>
              <c:strCache>
                <c:ptCount val="6"/>
                <c:pt idx="0">
                  <c:v>TikTok</c:v>
                </c:pt>
                <c:pt idx="1">
                  <c:v>X (Twitter)</c:v>
                </c:pt>
                <c:pt idx="2">
                  <c:v>LinkedIn</c:v>
                </c:pt>
                <c:pt idx="3">
                  <c:v>Facebook</c:v>
                </c:pt>
                <c:pt idx="4">
                  <c:v>YouTube</c:v>
                </c:pt>
                <c:pt idx="5">
                  <c:v>Instagram</c:v>
                </c:pt>
              </c:strCache>
            </c:strRef>
          </c:cat>
          <c:val>
            <c:numRef>
              <c:f>Sheet5!$B$44:$B$50</c:f>
              <c:numCache>
                <c:formatCode>General</c:formatCode>
                <c:ptCount val="6"/>
                <c:pt idx="0">
                  <c:v>95</c:v>
                </c:pt>
                <c:pt idx="1">
                  <c:v>88</c:v>
                </c:pt>
                <c:pt idx="2">
                  <c:v>87</c:v>
                </c:pt>
                <c:pt idx="3">
                  <c:v>81</c:v>
                </c:pt>
                <c:pt idx="4">
                  <c:v>75</c:v>
                </c:pt>
                <c:pt idx="5">
                  <c:v>74</c:v>
                </c:pt>
              </c:numCache>
            </c:numRef>
          </c:val>
          <c:extLst>
            <c:ext xmlns:c16="http://schemas.microsoft.com/office/drawing/2014/chart" uri="{C3380CC4-5D6E-409C-BE32-E72D297353CC}">
              <c16:uniqueId val="{00000000-599D-42F9-90B4-8EFD481AD0E3}"/>
            </c:ext>
          </c:extLst>
        </c:ser>
        <c:dLbls>
          <c:showLegendKey val="0"/>
          <c:showVal val="0"/>
          <c:showCatName val="0"/>
          <c:showSerName val="0"/>
          <c:showPercent val="0"/>
          <c:showBubbleSize val="0"/>
        </c:dLbls>
        <c:gapWidth val="182"/>
        <c:axId val="997105151"/>
        <c:axId val="997106591"/>
      </c:barChart>
      <c:catAx>
        <c:axId val="997105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06591"/>
        <c:crosses val="autoZero"/>
        <c:auto val="1"/>
        <c:lblAlgn val="ctr"/>
        <c:lblOffset val="100"/>
        <c:noMultiLvlLbl val="0"/>
      </c:catAx>
      <c:valAx>
        <c:axId val="997106591"/>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99710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[Mental_Health_and_Social_Media_Balance_DatasetCopy1.xlsx]Sheet5!PivotTable19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75000"/>
                    <a:lumOff val="25000"/>
                  </a:schemeClr>
                </a:solidFill>
              </a:rPr>
              <a:t>Average Daily Screen Time by Age Group</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Sheet5!$B$55</c:f>
              <c:strCache>
                <c:ptCount val="1"/>
                <c:pt idx="0">
                  <c:v>Total</c:v>
                </c:pt>
              </c:strCache>
            </c:strRef>
          </c:tx>
          <c:spPr>
            <a:ln w="28575" cap="rnd">
              <a:solidFill>
                <a:schemeClr val="accent1"/>
              </a:solidFill>
              <a:round/>
            </a:ln>
            <a:effectLst/>
          </c:spPr>
          <c:marker>
            <c:symbol val="none"/>
          </c:marker>
          <c:cat>
            <c:strRef>
              <c:f>Sheet5!$A$56:$A$60</c:f>
              <c:strCache>
                <c:ptCount val="4"/>
                <c:pt idx="0">
                  <c:v>46+</c:v>
                </c:pt>
                <c:pt idx="1">
                  <c:v>36–45</c:v>
                </c:pt>
                <c:pt idx="2">
                  <c:v>26–35</c:v>
                </c:pt>
                <c:pt idx="3">
                  <c:v>15–25</c:v>
                </c:pt>
              </c:strCache>
            </c:strRef>
          </c:cat>
          <c:val>
            <c:numRef>
              <c:f>Sheet5!$B$56:$B$60</c:f>
              <c:numCache>
                <c:formatCode>General</c:formatCode>
                <c:ptCount val="4"/>
                <c:pt idx="0">
                  <c:v>5.7499999999999991</c:v>
                </c:pt>
                <c:pt idx="1">
                  <c:v>5.4060975609756117</c:v>
                </c:pt>
                <c:pt idx="2">
                  <c:v>5.7194029850746269</c:v>
                </c:pt>
                <c:pt idx="3">
                  <c:v>5.3964285714285714</c:v>
                </c:pt>
              </c:numCache>
            </c:numRef>
          </c:val>
          <c:smooth val="0"/>
          <c:extLst>
            <c:ext xmlns:c16="http://schemas.microsoft.com/office/drawing/2014/chart" uri="{C3380CC4-5D6E-409C-BE32-E72D297353CC}">
              <c16:uniqueId val="{00000000-7731-40DB-AE36-3F5E963DAA9F}"/>
            </c:ext>
          </c:extLst>
        </c:ser>
        <c:dLbls>
          <c:showLegendKey val="0"/>
          <c:showVal val="0"/>
          <c:showCatName val="0"/>
          <c:showSerName val="0"/>
          <c:showPercent val="0"/>
          <c:showBubbleSize val="0"/>
        </c:dLbls>
        <c:smooth val="0"/>
        <c:axId val="972903727"/>
        <c:axId val="972897007"/>
      </c:lineChart>
      <c:catAx>
        <c:axId val="97290372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97007"/>
        <c:crosses val="autoZero"/>
        <c:auto val="1"/>
        <c:lblAlgn val="ctr"/>
        <c:lblOffset val="100"/>
        <c:noMultiLvlLbl val="0"/>
      </c:catAx>
      <c:valAx>
        <c:axId val="972897007"/>
        <c:scaling>
          <c:orientation val="minMax"/>
        </c:scaling>
        <c:delete val="0"/>
        <c:axPos val="r"/>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0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5</xdr:col>
      <xdr:colOff>426720</xdr:colOff>
      <xdr:row>8</xdr:row>
      <xdr:rowOff>106680</xdr:rowOff>
    </xdr:from>
    <xdr:to>
      <xdr:col>9</xdr:col>
      <xdr:colOff>190500</xdr:colOff>
      <xdr:row>23</xdr:row>
      <xdr:rowOff>59055</xdr:rowOff>
    </xdr:to>
    <mc:AlternateContent xmlns:mc="http://schemas.openxmlformats.org/markup-compatibility/2006" xmlns:a14="http://schemas.microsoft.com/office/drawing/2010/main">
      <mc:Choice Requires="a14">
        <xdr:graphicFrame macro="">
          <xdr:nvGraphicFramePr>
            <xdr:cNvPr id="2" name="Social_Media_Platform">
              <a:extLst>
                <a:ext uri="{FF2B5EF4-FFF2-40B4-BE49-F238E27FC236}">
                  <a16:creationId xmlns:a16="http://schemas.microsoft.com/office/drawing/2014/main" id="{FB2C9BE8-2441-17C4-D27F-762A34A95B0A}"/>
                </a:ext>
              </a:extLst>
            </xdr:cNvPr>
            <xdr:cNvGraphicFramePr/>
          </xdr:nvGraphicFramePr>
          <xdr:xfrm>
            <a:off x="0" y="0"/>
            <a:ext cx="0" cy="0"/>
          </xdr:xfrm>
          <a:graphic>
            <a:graphicData uri="http://schemas.microsoft.com/office/drawing/2010/slicer">
              <sle:slicer xmlns:sle="http://schemas.microsoft.com/office/drawing/2010/slicer" name="Social_Media_Platform"/>
            </a:graphicData>
          </a:graphic>
        </xdr:graphicFrame>
      </mc:Choice>
      <mc:Fallback xmlns="">
        <xdr:sp macro="" textlink="">
          <xdr:nvSpPr>
            <xdr:cNvPr id="0" name=""/>
            <xdr:cNvSpPr>
              <a:spLocks noTextEdit="1"/>
            </xdr:cNvSpPr>
          </xdr:nvSpPr>
          <xdr:spPr>
            <a:xfrm>
              <a:off x="4632960" y="1569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1</xdr:row>
      <xdr:rowOff>22860</xdr:rowOff>
    </xdr:from>
    <xdr:to>
      <xdr:col>9</xdr:col>
      <xdr:colOff>495300</xdr:colOff>
      <xdr:row>8</xdr:row>
      <xdr:rowOff>38100</xdr:rowOff>
    </xdr:to>
    <xdr:graphicFrame macro="">
      <xdr:nvGraphicFramePr>
        <xdr:cNvPr id="2" name="Chart 1">
          <a:extLst>
            <a:ext uri="{FF2B5EF4-FFF2-40B4-BE49-F238E27FC236}">
              <a16:creationId xmlns:a16="http://schemas.microsoft.com/office/drawing/2014/main" id="{71B9C423-7110-CA65-B699-4DA2FC6D4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198120</xdr:colOff>
      <xdr:row>9</xdr:row>
      <xdr:rowOff>26670</xdr:rowOff>
    </xdr:from>
    <xdr:to>
      <xdr:col>9</xdr:col>
      <xdr:colOff>502920</xdr:colOff>
      <xdr:row>15</xdr:row>
      <xdr:rowOff>106680</xdr:rowOff>
    </xdr:to>
    <xdr:graphicFrame macro="">
      <xdr:nvGraphicFramePr>
        <xdr:cNvPr id="3" name="Chart 2">
          <a:extLst>
            <a:ext uri="{FF2B5EF4-FFF2-40B4-BE49-F238E27FC236}">
              <a16:creationId xmlns:a16="http://schemas.microsoft.com/office/drawing/2014/main" id="{5F2D5E23-226E-85F7-D6F0-290417CF9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167640</xdr:colOff>
      <xdr:row>16</xdr:row>
      <xdr:rowOff>156210</xdr:rowOff>
    </xdr:from>
    <xdr:to>
      <xdr:col>9</xdr:col>
      <xdr:colOff>472440</xdr:colOff>
      <xdr:row>24</xdr:row>
      <xdr:rowOff>76200</xdr:rowOff>
    </xdr:to>
    <xdr:graphicFrame macro="">
      <xdr:nvGraphicFramePr>
        <xdr:cNvPr id="4" name="Chart 3">
          <a:extLst>
            <a:ext uri="{FF2B5EF4-FFF2-40B4-BE49-F238E27FC236}">
              <a16:creationId xmlns:a16="http://schemas.microsoft.com/office/drawing/2014/main" id="{BA32CD63-6B29-0952-A8B5-190C5A855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480060</xdr:colOff>
      <xdr:row>23</xdr:row>
      <xdr:rowOff>91440</xdr:rowOff>
    </xdr:from>
    <xdr:to>
      <xdr:col>12</xdr:col>
      <xdr:colOff>175260</xdr:colOff>
      <xdr:row>35</xdr:row>
      <xdr:rowOff>106680</xdr:rowOff>
    </xdr:to>
    <xdr:graphicFrame macro="">
      <xdr:nvGraphicFramePr>
        <xdr:cNvPr id="5" name="Chart 4">
          <a:extLst>
            <a:ext uri="{FF2B5EF4-FFF2-40B4-BE49-F238E27FC236}">
              <a16:creationId xmlns:a16="http://schemas.microsoft.com/office/drawing/2014/main" id="{1475544C-7B13-F082-3CE4-4342FD0AA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358140</xdr:colOff>
      <xdr:row>33</xdr:row>
      <xdr:rowOff>121920</xdr:rowOff>
    </xdr:from>
    <xdr:to>
      <xdr:col>18</xdr:col>
      <xdr:colOff>38100</xdr:colOff>
      <xdr:row>45</xdr:row>
      <xdr:rowOff>30480</xdr:rowOff>
    </xdr:to>
    <xdr:graphicFrame macro="">
      <xdr:nvGraphicFramePr>
        <xdr:cNvPr id="6" name="Chart 5">
          <a:extLst>
            <a:ext uri="{FF2B5EF4-FFF2-40B4-BE49-F238E27FC236}">
              <a16:creationId xmlns:a16="http://schemas.microsoft.com/office/drawing/2014/main" id="{E88ADA71-FA81-33C4-FADF-D163EF253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167640</xdr:colOff>
      <xdr:row>42</xdr:row>
      <xdr:rowOff>22860</xdr:rowOff>
    </xdr:from>
    <xdr:to>
      <xdr:col>9</xdr:col>
      <xdr:colOff>472440</xdr:colOff>
      <xdr:row>50</xdr:row>
      <xdr:rowOff>38100</xdr:rowOff>
    </xdr:to>
    <xdr:graphicFrame macro="">
      <xdr:nvGraphicFramePr>
        <xdr:cNvPr id="7" name="Chart 6">
          <a:extLst>
            <a:ext uri="{FF2B5EF4-FFF2-40B4-BE49-F238E27FC236}">
              <a16:creationId xmlns:a16="http://schemas.microsoft.com/office/drawing/2014/main" id="{2372325B-3623-1275-9A3E-675867BC1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160020</xdr:colOff>
      <xdr:row>52</xdr:row>
      <xdr:rowOff>76200</xdr:rowOff>
    </xdr:from>
    <xdr:to>
      <xdr:col>9</xdr:col>
      <xdr:colOff>464820</xdr:colOff>
      <xdr:row>61</xdr:row>
      <xdr:rowOff>11430</xdr:rowOff>
    </xdr:to>
    <xdr:graphicFrame macro="">
      <xdr:nvGraphicFramePr>
        <xdr:cNvPr id="8" name="Chart 7">
          <a:extLst>
            <a:ext uri="{FF2B5EF4-FFF2-40B4-BE49-F238E27FC236}">
              <a16:creationId xmlns:a16="http://schemas.microsoft.com/office/drawing/2014/main" id="{B70DB04F-450E-E68F-75CA-5C043F45F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335280</xdr:colOff>
      <xdr:row>2</xdr:row>
      <xdr:rowOff>160020</xdr:rowOff>
    </xdr:from>
    <xdr:to>
      <xdr:col>20</xdr:col>
      <xdr:colOff>152400</xdr:colOff>
      <xdr:row>17</xdr:row>
      <xdr:rowOff>112395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0F476A6A-59FC-C274-3CD0-7CCC5493154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727180" y="525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289560</xdr:colOff>
      <xdr:row>1</xdr:row>
      <xdr:rowOff>106680</xdr:rowOff>
    </xdr:from>
    <xdr:to>
      <xdr:col>17</xdr:col>
      <xdr:colOff>106680</xdr:colOff>
      <xdr:row>16</xdr:row>
      <xdr:rowOff>59055</xdr:rowOff>
    </xdr:to>
    <mc:AlternateContent xmlns:mc="http://schemas.openxmlformats.org/markup-compatibility/2006" xmlns:a14="http://schemas.microsoft.com/office/drawing/2010/main">
      <mc:Choice Requires="a14">
        <xdr:graphicFrame macro="">
          <xdr:nvGraphicFramePr>
            <xdr:cNvPr id="10" name="Social_Media_Platform 1">
              <a:extLst>
                <a:ext uri="{FF2B5EF4-FFF2-40B4-BE49-F238E27FC236}">
                  <a16:creationId xmlns:a16="http://schemas.microsoft.com/office/drawing/2014/main" id="{73A94C28-A65B-1DC2-088A-5FF0CCD63B04}"/>
                </a:ext>
              </a:extLst>
            </xdr:cNvPr>
            <xdr:cNvGraphicFramePr/>
          </xdr:nvGraphicFramePr>
          <xdr:xfrm>
            <a:off x="0" y="0"/>
            <a:ext cx="0" cy="0"/>
          </xdr:xfrm>
          <a:graphic>
            <a:graphicData uri="http://schemas.microsoft.com/office/drawing/2010/slicer">
              <sle:slicer xmlns:sle="http://schemas.microsoft.com/office/drawing/2010/slicer" name="Social_Media_Platform 1"/>
            </a:graphicData>
          </a:graphic>
        </xdr:graphicFrame>
      </mc:Choice>
      <mc:Fallback xmlns="">
        <xdr:sp macro="" textlink="">
          <xdr:nvSpPr>
            <xdr:cNvPr id="0" name=""/>
            <xdr:cNvSpPr>
              <a:spLocks noTextEdit="1"/>
            </xdr:cNvSpPr>
          </xdr:nvSpPr>
          <xdr:spPr>
            <a:xfrm>
              <a:off x="9852660" y="289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259080</xdr:colOff>
      <xdr:row>1</xdr:row>
      <xdr:rowOff>137161</xdr:rowOff>
    </xdr:from>
    <xdr:to>
      <xdr:col>13</xdr:col>
      <xdr:colOff>76200</xdr:colOff>
      <xdr:row>12</xdr:row>
      <xdr:rowOff>38101</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36964B53-6AA7-0302-436B-B2A1D3F0D34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383780" y="320041"/>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121920</xdr:colOff>
      <xdr:row>0</xdr:row>
      <xdr:rowOff>137159</xdr:rowOff>
    </xdr:from>
    <xdr:to>
      <xdr:col>18</xdr:col>
      <xdr:colOff>304800</xdr:colOff>
      <xdr:row>4</xdr:row>
      <xdr:rowOff>49160</xdr:rowOff>
    </xdr:to>
    <xdr:sp macro="" textlink="">
      <xdr:nvSpPr>
        <xdr:cNvPr id="2" name="TextBox 1">
          <a:extLst>
            <a:ext uri="{FF2B5EF4-FFF2-40B4-BE49-F238E27FC236}">
              <a16:creationId xmlns:a16="http://schemas.microsoft.com/office/drawing/2014/main" id="{005E6539-0729-5BBF-FC51-08991EE1FE8B}"/>
            </a:ext>
          </a:extLst>
        </xdr:cNvPr>
        <xdr:cNvSpPr txBox="1"/>
      </xdr:nvSpPr>
      <xdr:spPr>
        <a:xfrm>
          <a:off x="4270587" y="137159"/>
          <a:ext cx="8480213" cy="589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rgbClr val="002060"/>
              </a:solidFill>
              <a:latin typeface="Bahnschrift SemiBold Condensed" panose="020B0502040204020203" pitchFamily="34" charset="0"/>
            </a:rPr>
            <a:t>  </a:t>
          </a:r>
          <a:r>
            <a:rPr lang="en-IN" sz="3200">
              <a:solidFill>
                <a:srgbClr val="002060"/>
              </a:solidFill>
              <a:latin typeface="Bahnschrift SemiBold Condensed" panose="020B0502040204020203" pitchFamily="34" charset="0"/>
            </a:rPr>
            <a:t>Mental Health &amp; Social Media Dashboard</a:t>
          </a:r>
        </a:p>
      </xdr:txBody>
    </xdr:sp>
    <xdr:clientData/>
  </xdr:twoCellAnchor>
  <xdr:twoCellAnchor>
    <xdr:from>
      <xdr:col>2</xdr:col>
      <xdr:colOff>272448</xdr:colOff>
      <xdr:row>6</xdr:row>
      <xdr:rowOff>138452</xdr:rowOff>
    </xdr:from>
    <xdr:to>
      <xdr:col>7</xdr:col>
      <xdr:colOff>211488</xdr:colOff>
      <xdr:row>20</xdr:row>
      <xdr:rowOff>153692</xdr:rowOff>
    </xdr:to>
    <xdr:graphicFrame macro="">
      <xdr:nvGraphicFramePr>
        <xdr:cNvPr id="3" name="Chart 2">
          <a:extLst>
            <a:ext uri="{FF2B5EF4-FFF2-40B4-BE49-F238E27FC236}">
              <a16:creationId xmlns:a16="http://schemas.microsoft.com/office/drawing/2014/main" id="{085A7924-7997-42E8-974D-1657256D7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6</xdr:row>
      <xdr:rowOff>144780</xdr:rowOff>
    </xdr:from>
    <xdr:to>
      <xdr:col>12</xdr:col>
      <xdr:colOff>525780</xdr:colOff>
      <xdr:row>20</xdr:row>
      <xdr:rowOff>137160</xdr:rowOff>
    </xdr:to>
    <xdr:graphicFrame macro="">
      <xdr:nvGraphicFramePr>
        <xdr:cNvPr id="4" name="Chart 3">
          <a:extLst>
            <a:ext uri="{FF2B5EF4-FFF2-40B4-BE49-F238E27FC236}">
              <a16:creationId xmlns:a16="http://schemas.microsoft.com/office/drawing/2014/main" id="{15A35366-1DDB-45A3-99AA-59F92C2F8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586740</xdr:colOff>
      <xdr:row>6</xdr:row>
      <xdr:rowOff>175260</xdr:rowOff>
    </xdr:from>
    <xdr:to>
      <xdr:col>18</xdr:col>
      <xdr:colOff>381000</xdr:colOff>
      <xdr:row>20</xdr:row>
      <xdr:rowOff>152400</xdr:rowOff>
    </xdr:to>
    <xdr:graphicFrame macro="">
      <xdr:nvGraphicFramePr>
        <xdr:cNvPr id="5" name="Chart 4">
          <a:extLst>
            <a:ext uri="{FF2B5EF4-FFF2-40B4-BE49-F238E27FC236}">
              <a16:creationId xmlns:a16="http://schemas.microsoft.com/office/drawing/2014/main" id="{3D9B7CDA-3EB1-45AB-B713-9A2F79BE0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236220</xdr:colOff>
      <xdr:row>20</xdr:row>
      <xdr:rowOff>152399</xdr:rowOff>
    </xdr:from>
    <xdr:to>
      <xdr:col>12</xdr:col>
      <xdr:colOff>556260</xdr:colOff>
      <xdr:row>33</xdr:row>
      <xdr:rowOff>119528</xdr:rowOff>
    </xdr:to>
    <xdr:graphicFrame macro="">
      <xdr:nvGraphicFramePr>
        <xdr:cNvPr id="8" name="Chart 7">
          <a:extLst>
            <a:ext uri="{FF2B5EF4-FFF2-40B4-BE49-F238E27FC236}">
              <a16:creationId xmlns:a16="http://schemas.microsoft.com/office/drawing/2014/main" id="{7107F819-3F9A-4431-9999-16298985D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586740</xdr:colOff>
      <xdr:row>20</xdr:row>
      <xdr:rowOff>167640</xdr:rowOff>
    </xdr:from>
    <xdr:to>
      <xdr:col>18</xdr:col>
      <xdr:colOff>365760</xdr:colOff>
      <xdr:row>33</xdr:row>
      <xdr:rowOff>114300</xdr:rowOff>
    </xdr:to>
    <xdr:graphicFrame macro="">
      <xdr:nvGraphicFramePr>
        <xdr:cNvPr id="9" name="Chart 8">
          <a:extLst>
            <a:ext uri="{FF2B5EF4-FFF2-40B4-BE49-F238E27FC236}">
              <a16:creationId xmlns:a16="http://schemas.microsoft.com/office/drawing/2014/main" id="{41066291-E319-4238-934F-7849DDF41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273724</xdr:colOff>
      <xdr:row>21</xdr:row>
      <xdr:rowOff>32423</xdr:rowOff>
    </xdr:from>
    <xdr:to>
      <xdr:col>7</xdr:col>
      <xdr:colOff>216647</xdr:colOff>
      <xdr:row>33</xdr:row>
      <xdr:rowOff>112059</xdr:rowOff>
    </xdr:to>
    <xdr:graphicFrame macro="">
      <xdr:nvGraphicFramePr>
        <xdr:cNvPr id="10" name="Chart 9">
          <a:extLst>
            <a:ext uri="{FF2B5EF4-FFF2-40B4-BE49-F238E27FC236}">
              <a16:creationId xmlns:a16="http://schemas.microsoft.com/office/drawing/2014/main" id="{FFACA714-D83A-4A59-9A60-7AFBB5F56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326218</xdr:colOff>
      <xdr:row>33</xdr:row>
      <xdr:rowOff>155223</xdr:rowOff>
    </xdr:from>
    <xdr:to>
      <xdr:col>18</xdr:col>
      <xdr:colOff>423334</xdr:colOff>
      <xdr:row>46</xdr:row>
      <xdr:rowOff>45720</xdr:rowOff>
    </xdr:to>
    <xdr:graphicFrame macro="">
      <xdr:nvGraphicFramePr>
        <xdr:cNvPr id="11" name="Chart 10">
          <a:extLst>
            <a:ext uri="{FF2B5EF4-FFF2-40B4-BE49-F238E27FC236}">
              <a16:creationId xmlns:a16="http://schemas.microsoft.com/office/drawing/2014/main" id="{BD66A626-B3A4-49E4-B05C-95E22B9E0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134209</xdr:colOff>
      <xdr:row>6</xdr:row>
      <xdr:rowOff>173897</xdr:rowOff>
    </xdr:from>
    <xdr:to>
      <xdr:col>2</xdr:col>
      <xdr:colOff>240672</xdr:colOff>
      <xdr:row>18</xdr:row>
      <xdr:rowOff>118204</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5E99675B-11BC-4934-9DD6-5E55FC63ACB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4209" y="1271177"/>
              <a:ext cx="1508543" cy="2138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18</xdr:row>
      <xdr:rowOff>157657</xdr:rowOff>
    </xdr:from>
    <xdr:to>
      <xdr:col>2</xdr:col>
      <xdr:colOff>232260</xdr:colOff>
      <xdr:row>33</xdr:row>
      <xdr:rowOff>37209</xdr:rowOff>
    </xdr:to>
    <mc:AlternateContent xmlns:mc="http://schemas.openxmlformats.org/markup-compatibility/2006" xmlns:a14="http://schemas.microsoft.com/office/drawing/2010/main">
      <mc:Choice Requires="a14">
        <xdr:graphicFrame macro="">
          <xdr:nvGraphicFramePr>
            <xdr:cNvPr id="19" name="Social Media">
              <a:extLst>
                <a:ext uri="{FF2B5EF4-FFF2-40B4-BE49-F238E27FC236}">
                  <a16:creationId xmlns:a16="http://schemas.microsoft.com/office/drawing/2014/main" id="{0E2CEE1C-9499-4BB9-8ED9-4C823EB6945A}"/>
                </a:ext>
              </a:extLst>
            </xdr:cNvPr>
            <xdr:cNvGraphicFramePr/>
          </xdr:nvGraphicFramePr>
          <xdr:xfrm>
            <a:off x="0" y="0"/>
            <a:ext cx="0" cy="0"/>
          </xdr:xfrm>
          <a:graphic>
            <a:graphicData uri="http://schemas.microsoft.com/office/drawing/2010/slicer">
              <sle:slicer xmlns:sle="http://schemas.microsoft.com/office/drawing/2010/slicer" name="Social Media"/>
            </a:graphicData>
          </a:graphic>
        </xdr:graphicFrame>
      </mc:Choice>
      <mc:Fallback xmlns="">
        <xdr:sp macro="" textlink="">
          <xdr:nvSpPr>
            <xdr:cNvPr id="0" name=""/>
            <xdr:cNvSpPr>
              <a:spLocks noTextEdit="1"/>
            </xdr:cNvSpPr>
          </xdr:nvSpPr>
          <xdr:spPr>
            <a:xfrm>
              <a:off x="121920" y="3449497"/>
              <a:ext cx="1512420" cy="2622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167641</xdr:colOff>
      <xdr:row>33</xdr:row>
      <xdr:rowOff>78252</xdr:rowOff>
    </xdr:from>
    <xdr:to>
      <xdr:col>2</xdr:col>
      <xdr:colOff>241110</xdr:colOff>
      <xdr:row>46</xdr:row>
      <xdr:rowOff>30480</xdr:rowOff>
    </xdr:to>
    <mc:AlternateContent xmlns:mc="http://schemas.openxmlformats.org/markup-compatibility/2006" xmlns:a14="http://schemas.microsoft.com/office/drawing/2010/main">
      <mc:Choice Requires="a14">
        <xdr:graphicFrame macro="">
          <xdr:nvGraphicFramePr>
            <xdr:cNvPr id="20" name="Age group ">
              <a:extLst>
                <a:ext uri="{FF2B5EF4-FFF2-40B4-BE49-F238E27FC236}">
                  <a16:creationId xmlns:a16="http://schemas.microsoft.com/office/drawing/2014/main" id="{EF13977F-CBC9-4B3E-A033-6D78FE352DD6}"/>
                </a:ext>
              </a:extLst>
            </xdr:cNvPr>
            <xdr:cNvGraphicFramePr/>
          </xdr:nvGraphicFramePr>
          <xdr:xfrm>
            <a:off x="0" y="0"/>
            <a:ext cx="0" cy="0"/>
          </xdr:xfrm>
          <a:graphic>
            <a:graphicData uri="http://schemas.microsoft.com/office/drawing/2010/slicer">
              <sle:slicer xmlns:sle="http://schemas.microsoft.com/office/drawing/2010/slicer" name="Age group "/>
            </a:graphicData>
          </a:graphic>
        </xdr:graphicFrame>
      </mc:Choice>
      <mc:Fallback xmlns="">
        <xdr:sp macro="" textlink="">
          <xdr:nvSpPr>
            <xdr:cNvPr id="0" name=""/>
            <xdr:cNvSpPr>
              <a:spLocks noTextEdit="1"/>
            </xdr:cNvSpPr>
          </xdr:nvSpPr>
          <xdr:spPr>
            <a:xfrm>
              <a:off x="167641" y="6113292"/>
              <a:ext cx="1475549" cy="2329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473915</xdr:colOff>
      <xdr:row>7</xdr:row>
      <xdr:rowOff>30480</xdr:rowOff>
    </xdr:from>
    <xdr:to>
      <xdr:col>24</xdr:col>
      <xdr:colOff>634181</xdr:colOff>
      <xdr:row>19</xdr:row>
      <xdr:rowOff>45720</xdr:rowOff>
    </xdr:to>
    <xdr:sp macro="" textlink="">
      <xdr:nvSpPr>
        <xdr:cNvPr id="6" name="Rectangle 5">
          <a:extLst>
            <a:ext uri="{FF2B5EF4-FFF2-40B4-BE49-F238E27FC236}">
              <a16:creationId xmlns:a16="http://schemas.microsoft.com/office/drawing/2014/main" id="{C04A7937-B483-0AB6-929A-E24052F0F745}"/>
            </a:ext>
          </a:extLst>
        </xdr:cNvPr>
        <xdr:cNvSpPr/>
      </xdr:nvSpPr>
      <xdr:spPr>
        <a:xfrm>
          <a:off x="13092635" y="1310640"/>
          <a:ext cx="4366506" cy="2209800"/>
        </a:xfrm>
        <a:prstGeom prst="rect">
          <a:avLst/>
        </a:prstGeom>
        <a:gradFill>
          <a:gsLst>
            <a:gs pos="0">
              <a:schemeClr val="tx2">
                <a:lumMod val="60000"/>
                <a:lumOff val="40000"/>
              </a:schemeClr>
            </a:gs>
            <a:gs pos="70000">
              <a:schemeClr val="tx2">
                <a:lumMod val="20000"/>
                <a:lumOff val="80000"/>
              </a:schemeClr>
            </a:gs>
            <a:gs pos="100000">
              <a:srgbClr val="00B0F0"/>
            </a:gs>
            <a:gs pos="98000">
              <a:schemeClr val="tx2">
                <a:lumMod val="40000"/>
                <a:lumOff val="60000"/>
              </a:schemeClr>
            </a:gs>
          </a:gsLst>
          <a:lin ang="5400000" scaled="1"/>
        </a:gradFill>
        <a:ln w="317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a:solidFill>
              <a:schemeClr val="accent1"/>
            </a:solidFill>
          </a:endParaRPr>
        </a:p>
        <a:p>
          <a:pPr algn="ctr"/>
          <a:r>
            <a:rPr lang="en-IN" sz="2800" b="1">
              <a:solidFill>
                <a:schemeClr val="accent1"/>
              </a:solidFill>
            </a:rPr>
            <a:t>Average Screen Time 5.53 hrs</a:t>
          </a:r>
        </a:p>
      </xdr:txBody>
    </xdr:sp>
    <xdr:clientData/>
  </xdr:twoCellAnchor>
  <xdr:twoCellAnchor>
    <xdr:from>
      <xdr:col>18</xdr:col>
      <xdr:colOff>455727</xdr:colOff>
      <xdr:row>19</xdr:row>
      <xdr:rowOff>128310</xdr:rowOff>
    </xdr:from>
    <xdr:to>
      <xdr:col>24</xdr:col>
      <xdr:colOff>615992</xdr:colOff>
      <xdr:row>32</xdr:row>
      <xdr:rowOff>76200</xdr:rowOff>
    </xdr:to>
    <xdr:sp macro="" textlink="">
      <xdr:nvSpPr>
        <xdr:cNvPr id="12" name="Rectangle 11">
          <a:extLst>
            <a:ext uri="{FF2B5EF4-FFF2-40B4-BE49-F238E27FC236}">
              <a16:creationId xmlns:a16="http://schemas.microsoft.com/office/drawing/2014/main" id="{ADFF5115-0171-E747-5DEF-2BD8A4F7842C}"/>
            </a:ext>
          </a:extLst>
        </xdr:cNvPr>
        <xdr:cNvSpPr/>
      </xdr:nvSpPr>
      <xdr:spPr>
        <a:xfrm>
          <a:off x="13074447" y="3603030"/>
          <a:ext cx="4366505" cy="2325330"/>
        </a:xfrm>
        <a:prstGeom prst="rect">
          <a:avLst/>
        </a:prstGeom>
        <a:gradFill>
          <a:gsLst>
            <a:gs pos="9000">
              <a:schemeClr val="tx2">
                <a:lumMod val="40000"/>
                <a:lumOff val="60000"/>
              </a:schemeClr>
            </a:gs>
            <a:gs pos="70000">
              <a:schemeClr val="accent1">
                <a:lumMod val="45000"/>
                <a:lumOff val="55000"/>
              </a:schemeClr>
            </a:gs>
            <a:gs pos="85000">
              <a:srgbClr val="00B0F0"/>
            </a:gs>
            <a:gs pos="98000">
              <a:schemeClr val="tx2">
                <a:lumMod val="40000"/>
                <a:lumOff val="60000"/>
              </a:schemeClr>
            </a:gs>
          </a:gsLst>
          <a:lin ang="5400000" scaled="1"/>
        </a:gradFill>
        <a:ln w="2540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i="0" u="none" strike="noStrike">
            <a:solidFill>
              <a:schemeClr val="accent1"/>
            </a:solidFill>
            <a:effectLst/>
            <a:latin typeface="+mn-lt"/>
            <a:ea typeface="+mn-ea"/>
            <a:cs typeface="+mn-cs"/>
          </a:endParaRPr>
        </a:p>
        <a:p>
          <a:pPr algn="ctr"/>
          <a:r>
            <a:rPr lang="en-IN" sz="2800" b="1" i="0" u="none" strike="noStrike">
              <a:solidFill>
                <a:schemeClr val="accent1"/>
              </a:solidFill>
              <a:effectLst/>
              <a:latin typeface="+mn-lt"/>
              <a:ea typeface="+mn-ea"/>
              <a:cs typeface="+mn-cs"/>
            </a:rPr>
            <a:t>Average Sleep</a:t>
          </a:r>
          <a:r>
            <a:rPr lang="en-IN" sz="2800" b="1" i="0" u="none" strike="noStrike" baseline="0">
              <a:solidFill>
                <a:schemeClr val="accent1"/>
              </a:solidFill>
              <a:effectLst/>
              <a:latin typeface="+mn-lt"/>
              <a:ea typeface="+mn-ea"/>
              <a:cs typeface="+mn-cs"/>
            </a:rPr>
            <a:t> </a:t>
          </a:r>
          <a:r>
            <a:rPr lang="en-IN" sz="2800" b="1" i="0" u="none" strike="noStrike">
              <a:solidFill>
                <a:schemeClr val="accent1"/>
              </a:solidFill>
              <a:effectLst/>
              <a:latin typeface="+mn-lt"/>
              <a:ea typeface="+mn-ea"/>
              <a:cs typeface="+mn-cs"/>
            </a:rPr>
            <a:t>Quality</a:t>
          </a:r>
          <a:r>
            <a:rPr lang="en-IN" sz="2800" b="1">
              <a:solidFill>
                <a:schemeClr val="accent1"/>
              </a:solidFill>
              <a:effectLst/>
            </a:rPr>
            <a:t> </a:t>
          </a:r>
          <a:r>
            <a:rPr lang="en-IN" sz="2800" b="1" i="0" u="none" strike="noStrike">
              <a:solidFill>
                <a:schemeClr val="accent1"/>
              </a:solidFill>
              <a:effectLst/>
              <a:latin typeface="+mn-lt"/>
              <a:ea typeface="+mn-ea"/>
              <a:cs typeface="+mn-cs"/>
            </a:rPr>
            <a:t>6.304</a:t>
          </a:r>
          <a:r>
            <a:rPr lang="en-IN" sz="2800" b="1">
              <a:solidFill>
                <a:schemeClr val="accent1"/>
              </a:solidFill>
              <a:effectLst/>
            </a:rPr>
            <a:t> </a:t>
          </a:r>
          <a:endParaRPr lang="en-IN" sz="2800" b="1">
            <a:solidFill>
              <a:schemeClr val="accent1"/>
            </a:solidFill>
          </a:endParaRPr>
        </a:p>
      </xdr:txBody>
    </xdr:sp>
    <xdr:clientData/>
  </xdr:twoCellAnchor>
  <xdr:twoCellAnchor>
    <xdr:from>
      <xdr:col>18</xdr:col>
      <xdr:colOff>437045</xdr:colOff>
      <xdr:row>32</xdr:row>
      <xdr:rowOff>167640</xdr:rowOff>
    </xdr:from>
    <xdr:to>
      <xdr:col>24</xdr:col>
      <xdr:colOff>609601</xdr:colOff>
      <xdr:row>45</xdr:row>
      <xdr:rowOff>167640</xdr:rowOff>
    </xdr:to>
    <xdr:sp macro="" textlink="">
      <xdr:nvSpPr>
        <xdr:cNvPr id="14" name="Rectangle 13">
          <a:extLst>
            <a:ext uri="{FF2B5EF4-FFF2-40B4-BE49-F238E27FC236}">
              <a16:creationId xmlns:a16="http://schemas.microsoft.com/office/drawing/2014/main" id="{673FCCBC-CA47-CFAF-F581-85DE2BE83477}"/>
            </a:ext>
          </a:extLst>
        </xdr:cNvPr>
        <xdr:cNvSpPr/>
      </xdr:nvSpPr>
      <xdr:spPr>
        <a:xfrm>
          <a:off x="13055765" y="6019800"/>
          <a:ext cx="4378796" cy="2377440"/>
        </a:xfrm>
        <a:prstGeom prst="rect">
          <a:avLst/>
        </a:prstGeom>
        <a:gradFill>
          <a:gsLst>
            <a:gs pos="9000">
              <a:schemeClr val="bg2">
                <a:lumMod val="40000"/>
                <a:lumOff val="60000"/>
              </a:schemeClr>
            </a:gs>
            <a:gs pos="90000">
              <a:schemeClr val="accent1">
                <a:lumMod val="45000"/>
                <a:lumOff val="55000"/>
              </a:schemeClr>
            </a:gs>
            <a:gs pos="85000">
              <a:srgbClr val="00B0F0"/>
            </a:gs>
            <a:gs pos="98000">
              <a:schemeClr val="tx2">
                <a:lumMod val="40000"/>
                <a:lumOff val="60000"/>
              </a:schemeClr>
            </a:gs>
          </a:gsLst>
          <a:lin ang="5400000" scaled="1"/>
        </a:gradFill>
        <a:ln w="2540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a:solidFill>
              <a:schemeClr val="accent1"/>
            </a:solidFill>
          </a:endParaRPr>
        </a:p>
        <a:p>
          <a:pPr algn="ctr"/>
          <a:r>
            <a:rPr lang="en-IN" sz="2800" b="1">
              <a:solidFill>
                <a:schemeClr val="accent1"/>
              </a:solidFill>
            </a:rPr>
            <a:t>High stress </a:t>
          </a:r>
          <a:r>
            <a:rPr lang="en-IN" sz="2800" b="1" baseline="0">
              <a:solidFill>
                <a:schemeClr val="accent1"/>
              </a:solidFill>
            </a:rPr>
            <a:t> users</a:t>
          </a:r>
        </a:p>
        <a:p>
          <a:pPr algn="ctr"/>
          <a:r>
            <a:rPr lang="en-IN" sz="2800" b="1" baseline="0">
              <a:solidFill>
                <a:schemeClr val="accent1"/>
              </a:solidFill>
            </a:rPr>
            <a:t>28.6%</a:t>
          </a:r>
          <a:endParaRPr lang="en-IN" sz="2800" b="1">
            <a:solidFill>
              <a:schemeClr val="accent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BIN" refreshedDate="45999.436974884258" createdVersion="8" refreshedVersion="8" minRefreshableVersion="3" recordCount="501" xr:uid="{55AA3524-3DC7-4A56-B271-E0B76BCB9FBF}">
  <cacheSource type="worksheet">
    <worksheetSource ref="A1:N1048576" sheet="Mental_Health_and_Social_Media_"/>
  </cacheSource>
  <cacheFields count="14">
    <cacheField name="User_ID" numFmtId="0">
      <sharedItems containsBlank="1"/>
    </cacheField>
    <cacheField name="Age" numFmtId="0">
      <sharedItems containsString="0" containsBlank="1" containsNumber="1" containsInteger="1" minValue="16" maxValue="49"/>
    </cacheField>
    <cacheField name="Gender" numFmtId="0">
      <sharedItems containsBlank="1" count="4">
        <s v="Male"/>
        <s v="Other"/>
        <s v="Female"/>
        <m/>
      </sharedItems>
    </cacheField>
    <cacheField name="Daily_Screen_Time(hrs)" numFmtId="0">
      <sharedItems containsString="0" containsBlank="1" containsNumber="1" minValue="1" maxValue="10.8"/>
    </cacheField>
    <cacheField name="Sleep_Quality(1-10)" numFmtId="0">
      <sharedItems containsString="0" containsBlank="1" containsNumber="1" containsInteger="1" minValue="2" maxValue="10"/>
    </cacheField>
    <cacheField name="Stress_Level(1-10)" numFmtId="0">
      <sharedItems containsString="0" containsBlank="1" containsNumber="1" containsInteger="1" minValue="2" maxValue="10"/>
    </cacheField>
    <cacheField name="Days_Without_Social_Media" numFmtId="0">
      <sharedItems containsString="0" containsBlank="1" containsNumber="1" containsInteger="1" minValue="0" maxValue="9"/>
    </cacheField>
    <cacheField name="Exercise_Frequency(week)" numFmtId="0">
      <sharedItems containsString="0" containsBlank="1" containsNumber="1" containsInteger="1" minValue="0" maxValue="7"/>
    </cacheField>
    <cacheField name="Social_Media_Platform" numFmtId="0">
      <sharedItems containsBlank="1" count="7">
        <s v="Facebook"/>
        <s v="LinkedIn"/>
        <s v="YouTube"/>
        <s v="TikTok"/>
        <s v="X (Twitter)"/>
        <s v="Instagram"/>
        <m/>
      </sharedItems>
    </cacheField>
    <cacheField name="Happiness_Index(1-10)" numFmtId="0">
      <sharedItems containsString="0" containsBlank="1" containsNumber="1" containsInteger="1" minValue="4" maxValue="10"/>
    </cacheField>
    <cacheField name="Age group" numFmtId="0">
      <sharedItems containsBlank="1" count="6">
        <s v="36–45"/>
        <s v="26–35"/>
        <s v="15–25"/>
        <s v="46+"/>
        <m/>
        <s v="18–25" u="1"/>
      </sharedItems>
    </cacheField>
    <cacheField name="Screen time category" numFmtId="0">
      <sharedItems containsBlank="1" count="4">
        <s v="Medium"/>
        <s v="High"/>
        <s v="Low"/>
        <m/>
      </sharedItems>
    </cacheField>
    <cacheField name="Stress category" numFmtId="0">
      <sharedItems containsBlank="1" count="4">
        <s v="Medium"/>
        <s v="High"/>
        <s v="Low"/>
        <m/>
      </sharedItems>
    </cacheField>
    <cacheField name="Happiness Category" numFmtId="0">
      <sharedItems containsBlank="1" count="4">
        <s v="High"/>
        <s v="Normal"/>
        <s v="Low"/>
        <m/>
      </sharedItems>
    </cacheField>
  </cacheFields>
  <extLst>
    <ext xmlns:x14="http://schemas.microsoft.com/office/spreadsheetml/2009/9/main" uri="{725AE2AE-9491-48be-B2B4-4EB974FC3084}">
      <x14:pivotCacheDefinition pivotCacheId="2520879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BIN" refreshedDate="45999.436980671293" createdVersion="8" refreshedVersion="8" minRefreshableVersion="3" recordCount="500" xr:uid="{AF39B47B-4163-40B6-A52D-D9497EB374BF}">
  <cacheSource type="worksheet">
    <worksheetSource name="Table1"/>
  </cacheSource>
  <cacheFields count="14">
    <cacheField name="User_ID" numFmtId="0">
      <sharedItems/>
    </cacheField>
    <cacheField name="Age" numFmtId="0">
      <sharedItems containsSemiMixedTypes="0" containsString="0" containsNumber="1" containsInteger="1" minValue="16" maxValue="49"/>
    </cacheField>
    <cacheField name="Gender" numFmtId="0">
      <sharedItems count="3">
        <s v="Male"/>
        <s v="Other"/>
        <s v="Female"/>
      </sharedItems>
    </cacheField>
    <cacheField name="Daily_Screen_Time(hrs)" numFmtId="0">
      <sharedItems containsSemiMixedTypes="0" containsString="0" containsNumber="1" minValue="1" maxValue="10.8"/>
    </cacheField>
    <cacheField name="Sleep_Quality(1-10)" numFmtId="0">
      <sharedItems containsSemiMixedTypes="0" containsString="0" containsNumber="1" containsInteger="1" minValue="2" maxValue="10"/>
    </cacheField>
    <cacheField name="Stress_Level(1-10)" numFmtId="0">
      <sharedItems containsSemiMixedTypes="0" containsString="0" containsNumber="1" containsInteger="1" minValue="2" maxValue="10"/>
    </cacheField>
    <cacheField name="Days_Without_Social_Media" numFmtId="0">
      <sharedItems containsSemiMixedTypes="0" containsString="0" containsNumber="1" containsInteger="1" minValue="0" maxValue="9"/>
    </cacheField>
    <cacheField name="Exercise_Frequency(week)" numFmtId="0">
      <sharedItems containsSemiMixedTypes="0" containsString="0" containsNumber="1" containsInteger="1" minValue="0" maxValue="7"/>
    </cacheField>
    <cacheField name="Social_Media_Platform" numFmtId="0">
      <sharedItems count="6">
        <s v="Facebook"/>
        <s v="LinkedIn"/>
        <s v="YouTube"/>
        <s v="TikTok"/>
        <s v="X (Twitter)"/>
        <s v="Instagram"/>
      </sharedItems>
    </cacheField>
    <cacheField name="Happiness_Index(1-10)" numFmtId="0">
      <sharedItems containsSemiMixedTypes="0" containsString="0" containsNumber="1" containsInteger="1" minValue="4" maxValue="10"/>
    </cacheField>
    <cacheField name="Age group" numFmtId="0">
      <sharedItems/>
    </cacheField>
    <cacheField name="Screen time category" numFmtId="0">
      <sharedItems/>
    </cacheField>
    <cacheField name="Stress category" numFmtId="0">
      <sharedItems/>
    </cacheField>
    <cacheField name="Happiness Category" numFmtId="0">
      <sharedItems/>
    </cacheField>
  </cacheFields>
  <extLst>
    <ext xmlns:x14="http://schemas.microsoft.com/office/spreadsheetml/2009/9/main" uri="{725AE2AE-9491-48be-B2B4-4EB974FC3084}">
      <x14:pivotCacheDefinition pivotCacheId="215240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U001"/>
    <n v="44"/>
    <x v="0"/>
    <n v="3.1"/>
    <n v="7"/>
    <n v="6"/>
    <n v="2"/>
    <n v="5"/>
    <x v="0"/>
    <n v="10"/>
    <x v="0"/>
    <x v="0"/>
    <x v="0"/>
    <x v="0"/>
  </r>
  <r>
    <s v="U002"/>
    <n v="30"/>
    <x v="1"/>
    <n v="5.0999999999999996"/>
    <n v="7"/>
    <n v="8"/>
    <n v="5"/>
    <n v="3"/>
    <x v="1"/>
    <n v="10"/>
    <x v="1"/>
    <x v="0"/>
    <x v="1"/>
    <x v="0"/>
  </r>
  <r>
    <s v="U003"/>
    <n v="23"/>
    <x v="1"/>
    <n v="7.4"/>
    <n v="6"/>
    <n v="7"/>
    <n v="1"/>
    <n v="3"/>
    <x v="2"/>
    <n v="6"/>
    <x v="2"/>
    <x v="1"/>
    <x v="0"/>
    <x v="1"/>
  </r>
  <r>
    <s v="U004"/>
    <n v="36"/>
    <x v="2"/>
    <n v="5.7"/>
    <n v="7"/>
    <n v="8"/>
    <n v="1"/>
    <n v="1"/>
    <x v="3"/>
    <n v="8"/>
    <x v="0"/>
    <x v="0"/>
    <x v="1"/>
    <x v="0"/>
  </r>
  <r>
    <s v="U005"/>
    <n v="34"/>
    <x v="2"/>
    <n v="7"/>
    <n v="4"/>
    <n v="7"/>
    <n v="5"/>
    <n v="1"/>
    <x v="4"/>
    <n v="8"/>
    <x v="1"/>
    <x v="1"/>
    <x v="0"/>
    <x v="0"/>
  </r>
  <r>
    <s v="U006"/>
    <n v="38"/>
    <x v="0"/>
    <n v="6.6"/>
    <n v="5"/>
    <n v="7"/>
    <n v="4"/>
    <n v="3"/>
    <x v="1"/>
    <n v="8"/>
    <x v="0"/>
    <x v="1"/>
    <x v="0"/>
    <x v="0"/>
  </r>
  <r>
    <s v="U007"/>
    <n v="26"/>
    <x v="2"/>
    <n v="7.8"/>
    <n v="4"/>
    <n v="8"/>
    <n v="2"/>
    <n v="0"/>
    <x v="3"/>
    <n v="7"/>
    <x v="1"/>
    <x v="1"/>
    <x v="1"/>
    <x v="1"/>
  </r>
  <r>
    <s v="U008"/>
    <n v="26"/>
    <x v="2"/>
    <n v="7.4"/>
    <n v="5"/>
    <n v="6"/>
    <n v="1"/>
    <n v="4"/>
    <x v="5"/>
    <n v="7"/>
    <x v="1"/>
    <x v="1"/>
    <x v="0"/>
    <x v="1"/>
  </r>
  <r>
    <s v="U009"/>
    <n v="39"/>
    <x v="0"/>
    <n v="4.7"/>
    <n v="7"/>
    <n v="7"/>
    <n v="6"/>
    <n v="1"/>
    <x v="2"/>
    <n v="9"/>
    <x v="0"/>
    <x v="0"/>
    <x v="0"/>
    <x v="0"/>
  </r>
  <r>
    <s v="U010"/>
    <n v="39"/>
    <x v="2"/>
    <n v="6.6"/>
    <n v="6"/>
    <n v="8"/>
    <n v="0"/>
    <n v="0"/>
    <x v="0"/>
    <n v="7"/>
    <x v="0"/>
    <x v="1"/>
    <x v="1"/>
    <x v="1"/>
  </r>
  <r>
    <s v="U011"/>
    <n v="18"/>
    <x v="2"/>
    <n v="2.8"/>
    <n v="7"/>
    <n v="6"/>
    <n v="2"/>
    <n v="0"/>
    <x v="5"/>
    <n v="7"/>
    <x v="2"/>
    <x v="2"/>
    <x v="0"/>
    <x v="1"/>
  </r>
  <r>
    <s v="U012"/>
    <n v="37"/>
    <x v="1"/>
    <n v="5.4"/>
    <n v="5"/>
    <n v="7"/>
    <n v="3"/>
    <n v="2"/>
    <x v="5"/>
    <n v="9"/>
    <x v="0"/>
    <x v="0"/>
    <x v="0"/>
    <x v="0"/>
  </r>
  <r>
    <s v="U013"/>
    <n v="17"/>
    <x v="2"/>
    <n v="7"/>
    <n v="7"/>
    <n v="10"/>
    <n v="7"/>
    <n v="1"/>
    <x v="2"/>
    <n v="8"/>
    <x v="2"/>
    <x v="1"/>
    <x v="1"/>
    <x v="0"/>
  </r>
  <r>
    <s v="U014"/>
    <n v="39"/>
    <x v="2"/>
    <n v="5.7"/>
    <n v="5"/>
    <n v="7"/>
    <n v="4"/>
    <n v="0"/>
    <x v="0"/>
    <n v="8"/>
    <x v="0"/>
    <x v="0"/>
    <x v="0"/>
    <x v="0"/>
  </r>
  <r>
    <s v="U015"/>
    <n v="45"/>
    <x v="0"/>
    <n v="6.3"/>
    <n v="7"/>
    <n v="7"/>
    <n v="4"/>
    <n v="3"/>
    <x v="4"/>
    <n v="9"/>
    <x v="0"/>
    <x v="1"/>
    <x v="0"/>
    <x v="0"/>
  </r>
  <r>
    <s v="U016"/>
    <n v="17"/>
    <x v="2"/>
    <n v="5.0999999999999996"/>
    <n v="7"/>
    <n v="6"/>
    <n v="2"/>
    <n v="5"/>
    <x v="1"/>
    <n v="10"/>
    <x v="2"/>
    <x v="0"/>
    <x v="0"/>
    <x v="0"/>
  </r>
  <r>
    <s v="U017"/>
    <n v="36"/>
    <x v="2"/>
    <n v="7.5"/>
    <n v="5"/>
    <n v="8"/>
    <n v="4"/>
    <n v="4"/>
    <x v="0"/>
    <n v="7"/>
    <x v="0"/>
    <x v="1"/>
    <x v="1"/>
    <x v="1"/>
  </r>
  <r>
    <s v="U018"/>
    <n v="48"/>
    <x v="0"/>
    <n v="5.4"/>
    <n v="6"/>
    <n v="4"/>
    <n v="3"/>
    <n v="4"/>
    <x v="3"/>
    <n v="7"/>
    <x v="3"/>
    <x v="0"/>
    <x v="2"/>
    <x v="1"/>
  </r>
  <r>
    <s v="U019"/>
    <n v="27"/>
    <x v="0"/>
    <n v="4.7"/>
    <n v="6"/>
    <n v="6"/>
    <n v="0"/>
    <n v="2"/>
    <x v="5"/>
    <n v="9"/>
    <x v="1"/>
    <x v="0"/>
    <x v="0"/>
    <x v="0"/>
  </r>
  <r>
    <s v="U020"/>
    <n v="37"/>
    <x v="0"/>
    <n v="7.1"/>
    <n v="6"/>
    <n v="6"/>
    <n v="5"/>
    <n v="4"/>
    <x v="3"/>
    <n v="10"/>
    <x v="0"/>
    <x v="1"/>
    <x v="0"/>
    <x v="0"/>
  </r>
  <r>
    <s v="U021"/>
    <n v="40"/>
    <x v="2"/>
    <n v="3"/>
    <n v="8"/>
    <n v="5"/>
    <n v="5"/>
    <n v="4"/>
    <x v="4"/>
    <n v="10"/>
    <x v="0"/>
    <x v="2"/>
    <x v="0"/>
    <x v="0"/>
  </r>
  <r>
    <s v="U022"/>
    <n v="42"/>
    <x v="1"/>
    <n v="6.4"/>
    <n v="7"/>
    <n v="6"/>
    <n v="5"/>
    <n v="3"/>
    <x v="3"/>
    <n v="10"/>
    <x v="0"/>
    <x v="1"/>
    <x v="0"/>
    <x v="0"/>
  </r>
  <r>
    <s v="U023"/>
    <n v="43"/>
    <x v="0"/>
    <n v="3.6"/>
    <n v="8"/>
    <n v="5"/>
    <n v="3"/>
    <n v="1"/>
    <x v="0"/>
    <n v="9"/>
    <x v="0"/>
    <x v="0"/>
    <x v="0"/>
    <x v="0"/>
  </r>
  <r>
    <s v="U024"/>
    <n v="31"/>
    <x v="2"/>
    <n v="7.8"/>
    <n v="5"/>
    <n v="8"/>
    <n v="1"/>
    <n v="2"/>
    <x v="3"/>
    <n v="7"/>
    <x v="1"/>
    <x v="1"/>
    <x v="1"/>
    <x v="1"/>
  </r>
  <r>
    <s v="U025"/>
    <n v="30"/>
    <x v="0"/>
    <n v="5"/>
    <n v="6"/>
    <n v="6"/>
    <n v="0"/>
    <n v="5"/>
    <x v="4"/>
    <n v="8"/>
    <x v="1"/>
    <x v="0"/>
    <x v="0"/>
    <x v="0"/>
  </r>
  <r>
    <s v="U026"/>
    <n v="18"/>
    <x v="1"/>
    <n v="5.7"/>
    <n v="6"/>
    <n v="7"/>
    <n v="3"/>
    <n v="2"/>
    <x v="4"/>
    <n v="8"/>
    <x v="2"/>
    <x v="0"/>
    <x v="0"/>
    <x v="0"/>
  </r>
  <r>
    <s v="U027"/>
    <n v="22"/>
    <x v="2"/>
    <n v="6.2"/>
    <n v="5"/>
    <n v="8"/>
    <n v="5"/>
    <n v="0"/>
    <x v="4"/>
    <n v="6"/>
    <x v="2"/>
    <x v="1"/>
    <x v="1"/>
    <x v="1"/>
  </r>
  <r>
    <s v="U028"/>
    <n v="36"/>
    <x v="2"/>
    <n v="2"/>
    <n v="8"/>
    <n v="4"/>
    <n v="5"/>
    <n v="0"/>
    <x v="0"/>
    <n v="10"/>
    <x v="0"/>
    <x v="2"/>
    <x v="2"/>
    <x v="0"/>
  </r>
  <r>
    <s v="U029"/>
    <n v="24"/>
    <x v="0"/>
    <n v="4.3"/>
    <n v="6"/>
    <n v="6"/>
    <n v="5"/>
    <n v="2"/>
    <x v="4"/>
    <n v="10"/>
    <x v="2"/>
    <x v="0"/>
    <x v="0"/>
    <x v="0"/>
  </r>
  <r>
    <s v="U030"/>
    <n v="33"/>
    <x v="0"/>
    <n v="7.4"/>
    <n v="6"/>
    <n v="10"/>
    <n v="3"/>
    <n v="4"/>
    <x v="5"/>
    <n v="8"/>
    <x v="1"/>
    <x v="1"/>
    <x v="1"/>
    <x v="0"/>
  </r>
  <r>
    <s v="U031"/>
    <n v="19"/>
    <x v="0"/>
    <n v="7.1"/>
    <n v="5"/>
    <n v="8"/>
    <n v="5"/>
    <n v="2"/>
    <x v="4"/>
    <n v="9"/>
    <x v="2"/>
    <x v="1"/>
    <x v="1"/>
    <x v="0"/>
  </r>
  <r>
    <s v="U032"/>
    <n v="40"/>
    <x v="0"/>
    <n v="6"/>
    <n v="6"/>
    <n v="7"/>
    <n v="5"/>
    <n v="4"/>
    <x v="3"/>
    <n v="7"/>
    <x v="0"/>
    <x v="0"/>
    <x v="0"/>
    <x v="1"/>
  </r>
  <r>
    <s v="U033"/>
    <n v="29"/>
    <x v="2"/>
    <n v="3.1"/>
    <n v="8"/>
    <n v="4"/>
    <n v="2"/>
    <n v="2"/>
    <x v="1"/>
    <n v="10"/>
    <x v="1"/>
    <x v="0"/>
    <x v="2"/>
    <x v="0"/>
  </r>
  <r>
    <s v="U034"/>
    <n v="24"/>
    <x v="2"/>
    <n v="6.6"/>
    <n v="6"/>
    <n v="7"/>
    <n v="4"/>
    <n v="0"/>
    <x v="3"/>
    <n v="7"/>
    <x v="2"/>
    <x v="1"/>
    <x v="0"/>
    <x v="1"/>
  </r>
  <r>
    <s v="U035"/>
    <n v="41"/>
    <x v="1"/>
    <n v="6.8"/>
    <n v="8"/>
    <n v="7"/>
    <n v="2"/>
    <n v="2"/>
    <x v="1"/>
    <n v="9"/>
    <x v="0"/>
    <x v="1"/>
    <x v="0"/>
    <x v="0"/>
  </r>
  <r>
    <s v="U036"/>
    <n v="17"/>
    <x v="1"/>
    <n v="5.6"/>
    <n v="6"/>
    <n v="7"/>
    <n v="4"/>
    <n v="3"/>
    <x v="3"/>
    <n v="7"/>
    <x v="2"/>
    <x v="0"/>
    <x v="0"/>
    <x v="1"/>
  </r>
  <r>
    <s v="U037"/>
    <n v="35"/>
    <x v="2"/>
    <n v="7.7"/>
    <n v="4"/>
    <n v="8"/>
    <n v="0"/>
    <n v="3"/>
    <x v="0"/>
    <n v="8"/>
    <x v="1"/>
    <x v="1"/>
    <x v="1"/>
    <x v="0"/>
  </r>
  <r>
    <s v="U038"/>
    <n v="43"/>
    <x v="2"/>
    <n v="4.3"/>
    <n v="8"/>
    <n v="4"/>
    <n v="1"/>
    <n v="1"/>
    <x v="3"/>
    <n v="10"/>
    <x v="0"/>
    <x v="0"/>
    <x v="2"/>
    <x v="0"/>
  </r>
  <r>
    <s v="U039"/>
    <n v="22"/>
    <x v="1"/>
    <n v="4.5999999999999996"/>
    <n v="4"/>
    <n v="6"/>
    <n v="5"/>
    <n v="2"/>
    <x v="0"/>
    <n v="9"/>
    <x v="2"/>
    <x v="0"/>
    <x v="0"/>
    <x v="0"/>
  </r>
  <r>
    <s v="U040"/>
    <n v="23"/>
    <x v="2"/>
    <n v="1"/>
    <n v="9"/>
    <n v="5"/>
    <n v="5"/>
    <n v="7"/>
    <x v="0"/>
    <n v="10"/>
    <x v="2"/>
    <x v="2"/>
    <x v="0"/>
    <x v="0"/>
  </r>
  <r>
    <s v="U041"/>
    <n v="29"/>
    <x v="0"/>
    <n v="7.2"/>
    <n v="5"/>
    <n v="7"/>
    <n v="4"/>
    <n v="1"/>
    <x v="4"/>
    <n v="10"/>
    <x v="1"/>
    <x v="1"/>
    <x v="0"/>
    <x v="0"/>
  </r>
  <r>
    <s v="U042"/>
    <n v="32"/>
    <x v="0"/>
    <n v="6.1"/>
    <n v="5"/>
    <n v="6"/>
    <n v="3"/>
    <n v="3"/>
    <x v="5"/>
    <n v="7"/>
    <x v="1"/>
    <x v="1"/>
    <x v="0"/>
    <x v="1"/>
  </r>
  <r>
    <s v="U043"/>
    <n v="19"/>
    <x v="0"/>
    <n v="2.5"/>
    <n v="9"/>
    <n v="3"/>
    <n v="0"/>
    <n v="0"/>
    <x v="1"/>
    <n v="10"/>
    <x v="2"/>
    <x v="2"/>
    <x v="2"/>
    <x v="0"/>
  </r>
  <r>
    <s v="U044"/>
    <n v="17"/>
    <x v="1"/>
    <n v="2.2999999999999998"/>
    <n v="9"/>
    <n v="3"/>
    <n v="3"/>
    <n v="4"/>
    <x v="4"/>
    <n v="10"/>
    <x v="2"/>
    <x v="2"/>
    <x v="2"/>
    <x v="0"/>
  </r>
  <r>
    <s v="U045"/>
    <n v="21"/>
    <x v="2"/>
    <n v="3.9"/>
    <n v="6"/>
    <n v="6"/>
    <n v="4"/>
    <n v="1"/>
    <x v="4"/>
    <n v="8"/>
    <x v="2"/>
    <x v="0"/>
    <x v="0"/>
    <x v="0"/>
  </r>
  <r>
    <s v="U046"/>
    <n v="19"/>
    <x v="0"/>
    <n v="6.9"/>
    <n v="5"/>
    <n v="7"/>
    <n v="2"/>
    <n v="3"/>
    <x v="0"/>
    <n v="9"/>
    <x v="2"/>
    <x v="1"/>
    <x v="0"/>
    <x v="0"/>
  </r>
  <r>
    <s v="U047"/>
    <n v="44"/>
    <x v="2"/>
    <n v="5"/>
    <n v="4"/>
    <n v="7"/>
    <n v="2"/>
    <n v="1"/>
    <x v="0"/>
    <n v="8"/>
    <x v="0"/>
    <x v="0"/>
    <x v="0"/>
    <x v="0"/>
  </r>
  <r>
    <s v="U048"/>
    <n v="33"/>
    <x v="2"/>
    <n v="4.0999999999999996"/>
    <n v="8"/>
    <n v="7"/>
    <n v="6"/>
    <n v="3"/>
    <x v="1"/>
    <n v="9"/>
    <x v="1"/>
    <x v="0"/>
    <x v="0"/>
    <x v="0"/>
  </r>
  <r>
    <s v="U049"/>
    <n v="41"/>
    <x v="0"/>
    <n v="3.7"/>
    <n v="8"/>
    <n v="6"/>
    <n v="3"/>
    <n v="1"/>
    <x v="3"/>
    <n v="9"/>
    <x v="0"/>
    <x v="0"/>
    <x v="0"/>
    <x v="0"/>
  </r>
  <r>
    <s v="U050"/>
    <n v="49"/>
    <x v="0"/>
    <n v="3.6"/>
    <n v="7"/>
    <n v="5"/>
    <n v="4"/>
    <n v="1"/>
    <x v="3"/>
    <n v="9"/>
    <x v="3"/>
    <x v="0"/>
    <x v="0"/>
    <x v="0"/>
  </r>
  <r>
    <s v="U051"/>
    <n v="25"/>
    <x v="2"/>
    <n v="2"/>
    <n v="9"/>
    <n v="4"/>
    <n v="5"/>
    <n v="3"/>
    <x v="4"/>
    <n v="10"/>
    <x v="2"/>
    <x v="2"/>
    <x v="2"/>
    <x v="0"/>
  </r>
  <r>
    <s v="U052"/>
    <n v="29"/>
    <x v="2"/>
    <n v="3.3"/>
    <n v="7"/>
    <n v="5"/>
    <n v="1"/>
    <n v="2"/>
    <x v="2"/>
    <n v="10"/>
    <x v="1"/>
    <x v="0"/>
    <x v="0"/>
    <x v="0"/>
  </r>
  <r>
    <s v="U053"/>
    <n v="46"/>
    <x v="2"/>
    <n v="3.6"/>
    <n v="7"/>
    <n v="5"/>
    <n v="3"/>
    <n v="3"/>
    <x v="2"/>
    <n v="10"/>
    <x v="3"/>
    <x v="0"/>
    <x v="0"/>
    <x v="0"/>
  </r>
  <r>
    <s v="U054"/>
    <n v="30"/>
    <x v="2"/>
    <n v="6.7"/>
    <n v="6"/>
    <n v="8"/>
    <n v="6"/>
    <n v="2"/>
    <x v="3"/>
    <n v="7"/>
    <x v="1"/>
    <x v="1"/>
    <x v="1"/>
    <x v="1"/>
  </r>
  <r>
    <s v="U055"/>
    <n v="23"/>
    <x v="2"/>
    <n v="5.2"/>
    <n v="6"/>
    <n v="6"/>
    <n v="7"/>
    <n v="3"/>
    <x v="2"/>
    <n v="8"/>
    <x v="2"/>
    <x v="0"/>
    <x v="0"/>
    <x v="0"/>
  </r>
  <r>
    <s v="U056"/>
    <n v="29"/>
    <x v="2"/>
    <n v="4"/>
    <n v="7"/>
    <n v="3"/>
    <n v="3"/>
    <n v="3"/>
    <x v="3"/>
    <n v="10"/>
    <x v="1"/>
    <x v="0"/>
    <x v="2"/>
    <x v="0"/>
  </r>
  <r>
    <s v="U057"/>
    <n v="38"/>
    <x v="2"/>
    <n v="9.6999999999999993"/>
    <n v="3"/>
    <n v="9"/>
    <n v="3"/>
    <n v="2"/>
    <x v="0"/>
    <n v="4"/>
    <x v="0"/>
    <x v="1"/>
    <x v="1"/>
    <x v="2"/>
  </r>
  <r>
    <s v="U058"/>
    <n v="36"/>
    <x v="2"/>
    <n v="4.3"/>
    <n v="7"/>
    <n v="6"/>
    <n v="4"/>
    <n v="1"/>
    <x v="4"/>
    <n v="9"/>
    <x v="0"/>
    <x v="0"/>
    <x v="0"/>
    <x v="0"/>
  </r>
  <r>
    <s v="U059"/>
    <n v="31"/>
    <x v="0"/>
    <n v="7.6"/>
    <n v="5"/>
    <n v="10"/>
    <n v="3"/>
    <n v="2"/>
    <x v="5"/>
    <n v="6"/>
    <x v="1"/>
    <x v="1"/>
    <x v="1"/>
    <x v="1"/>
  </r>
  <r>
    <s v="U060"/>
    <n v="33"/>
    <x v="0"/>
    <n v="8.4"/>
    <n v="4"/>
    <n v="8"/>
    <n v="6"/>
    <n v="4"/>
    <x v="4"/>
    <n v="7"/>
    <x v="1"/>
    <x v="1"/>
    <x v="1"/>
    <x v="1"/>
  </r>
  <r>
    <s v="U061"/>
    <n v="39"/>
    <x v="0"/>
    <n v="2.7"/>
    <n v="9"/>
    <n v="5"/>
    <n v="1"/>
    <n v="3"/>
    <x v="3"/>
    <n v="10"/>
    <x v="0"/>
    <x v="2"/>
    <x v="0"/>
    <x v="0"/>
  </r>
  <r>
    <s v="U062"/>
    <n v="41"/>
    <x v="2"/>
    <n v="5.6"/>
    <n v="6"/>
    <n v="7"/>
    <n v="2"/>
    <n v="1"/>
    <x v="3"/>
    <n v="9"/>
    <x v="0"/>
    <x v="0"/>
    <x v="0"/>
    <x v="0"/>
  </r>
  <r>
    <s v="U063"/>
    <n v="40"/>
    <x v="2"/>
    <n v="4.5999999999999996"/>
    <n v="7"/>
    <n v="7"/>
    <n v="1"/>
    <n v="3"/>
    <x v="4"/>
    <n v="10"/>
    <x v="0"/>
    <x v="0"/>
    <x v="0"/>
    <x v="0"/>
  </r>
  <r>
    <s v="U064"/>
    <n v="44"/>
    <x v="2"/>
    <n v="4.4000000000000004"/>
    <n v="6"/>
    <n v="7"/>
    <n v="1"/>
    <n v="3"/>
    <x v="1"/>
    <n v="9"/>
    <x v="0"/>
    <x v="0"/>
    <x v="0"/>
    <x v="0"/>
  </r>
  <r>
    <s v="U065"/>
    <n v="30"/>
    <x v="0"/>
    <n v="6.5"/>
    <n v="4"/>
    <n v="9"/>
    <n v="4"/>
    <n v="3"/>
    <x v="3"/>
    <n v="5"/>
    <x v="1"/>
    <x v="1"/>
    <x v="1"/>
    <x v="1"/>
  </r>
  <r>
    <s v="U066"/>
    <n v="16"/>
    <x v="0"/>
    <n v="4.4000000000000004"/>
    <n v="8"/>
    <n v="4"/>
    <n v="5"/>
    <n v="1"/>
    <x v="2"/>
    <n v="10"/>
    <x v="2"/>
    <x v="0"/>
    <x v="2"/>
    <x v="0"/>
  </r>
  <r>
    <s v="U067"/>
    <n v="40"/>
    <x v="0"/>
    <n v="4.5999999999999996"/>
    <n v="7"/>
    <n v="6"/>
    <n v="2"/>
    <n v="1"/>
    <x v="2"/>
    <n v="10"/>
    <x v="0"/>
    <x v="0"/>
    <x v="0"/>
    <x v="0"/>
  </r>
  <r>
    <s v="U068"/>
    <n v="22"/>
    <x v="0"/>
    <n v="5.2"/>
    <n v="9"/>
    <n v="7"/>
    <n v="5"/>
    <n v="1"/>
    <x v="3"/>
    <n v="10"/>
    <x v="2"/>
    <x v="0"/>
    <x v="0"/>
    <x v="0"/>
  </r>
  <r>
    <s v="U069"/>
    <n v="24"/>
    <x v="2"/>
    <n v="4.8"/>
    <n v="6"/>
    <n v="7"/>
    <n v="5"/>
    <n v="2"/>
    <x v="3"/>
    <n v="7"/>
    <x v="2"/>
    <x v="0"/>
    <x v="0"/>
    <x v="1"/>
  </r>
  <r>
    <s v="U070"/>
    <n v="39"/>
    <x v="0"/>
    <n v="3.4"/>
    <n v="8"/>
    <n v="6"/>
    <n v="7"/>
    <n v="3"/>
    <x v="1"/>
    <n v="10"/>
    <x v="0"/>
    <x v="0"/>
    <x v="0"/>
    <x v="0"/>
  </r>
  <r>
    <s v="U071"/>
    <n v="16"/>
    <x v="0"/>
    <n v="6.9"/>
    <n v="5"/>
    <n v="8"/>
    <n v="3"/>
    <n v="3"/>
    <x v="2"/>
    <n v="5"/>
    <x v="2"/>
    <x v="1"/>
    <x v="1"/>
    <x v="1"/>
  </r>
  <r>
    <s v="U072"/>
    <n v="23"/>
    <x v="2"/>
    <n v="7.4"/>
    <n v="6"/>
    <n v="7"/>
    <n v="2"/>
    <n v="3"/>
    <x v="3"/>
    <n v="8"/>
    <x v="2"/>
    <x v="1"/>
    <x v="0"/>
    <x v="0"/>
  </r>
  <r>
    <s v="U073"/>
    <n v="39"/>
    <x v="0"/>
    <n v="6.1"/>
    <n v="5"/>
    <n v="5"/>
    <n v="1"/>
    <n v="5"/>
    <x v="3"/>
    <n v="10"/>
    <x v="0"/>
    <x v="1"/>
    <x v="0"/>
    <x v="0"/>
  </r>
  <r>
    <s v="U074"/>
    <n v="26"/>
    <x v="2"/>
    <n v="4.8"/>
    <n v="6"/>
    <n v="6"/>
    <n v="1"/>
    <n v="4"/>
    <x v="1"/>
    <n v="8"/>
    <x v="1"/>
    <x v="0"/>
    <x v="0"/>
    <x v="0"/>
  </r>
  <r>
    <s v="U075"/>
    <n v="32"/>
    <x v="2"/>
    <n v="4.2"/>
    <n v="8"/>
    <n v="8"/>
    <n v="5"/>
    <n v="2"/>
    <x v="1"/>
    <n v="8"/>
    <x v="1"/>
    <x v="0"/>
    <x v="1"/>
    <x v="0"/>
  </r>
  <r>
    <s v="U076"/>
    <n v="23"/>
    <x v="0"/>
    <n v="4.2"/>
    <n v="7"/>
    <n v="5"/>
    <n v="0"/>
    <n v="1"/>
    <x v="4"/>
    <n v="10"/>
    <x v="2"/>
    <x v="0"/>
    <x v="0"/>
    <x v="0"/>
  </r>
  <r>
    <s v="U077"/>
    <n v="48"/>
    <x v="2"/>
    <n v="9.6999999999999993"/>
    <n v="4"/>
    <n v="8"/>
    <n v="5"/>
    <n v="1"/>
    <x v="1"/>
    <n v="5"/>
    <x v="3"/>
    <x v="1"/>
    <x v="1"/>
    <x v="1"/>
  </r>
  <r>
    <s v="U078"/>
    <n v="20"/>
    <x v="2"/>
    <n v="7.2"/>
    <n v="6"/>
    <n v="9"/>
    <n v="1"/>
    <n v="2"/>
    <x v="5"/>
    <n v="6"/>
    <x v="2"/>
    <x v="1"/>
    <x v="1"/>
    <x v="1"/>
  </r>
  <r>
    <s v="U079"/>
    <n v="43"/>
    <x v="1"/>
    <n v="4"/>
    <n v="7"/>
    <n v="7"/>
    <n v="2"/>
    <n v="4"/>
    <x v="2"/>
    <n v="9"/>
    <x v="0"/>
    <x v="0"/>
    <x v="0"/>
    <x v="0"/>
  </r>
  <r>
    <s v="U080"/>
    <n v="22"/>
    <x v="0"/>
    <n v="5.8"/>
    <n v="6"/>
    <n v="8"/>
    <n v="3"/>
    <n v="2"/>
    <x v="4"/>
    <n v="7"/>
    <x v="2"/>
    <x v="0"/>
    <x v="1"/>
    <x v="1"/>
  </r>
  <r>
    <s v="U081"/>
    <n v="24"/>
    <x v="2"/>
    <n v="4.8"/>
    <n v="6"/>
    <n v="7"/>
    <n v="2"/>
    <n v="2"/>
    <x v="5"/>
    <n v="8"/>
    <x v="2"/>
    <x v="0"/>
    <x v="0"/>
    <x v="0"/>
  </r>
  <r>
    <s v="U082"/>
    <n v="23"/>
    <x v="2"/>
    <n v="6.6"/>
    <n v="6"/>
    <n v="8"/>
    <n v="5"/>
    <n v="1"/>
    <x v="3"/>
    <n v="8"/>
    <x v="2"/>
    <x v="1"/>
    <x v="1"/>
    <x v="0"/>
  </r>
  <r>
    <s v="U083"/>
    <n v="27"/>
    <x v="0"/>
    <n v="6.5"/>
    <n v="7"/>
    <n v="9"/>
    <n v="7"/>
    <n v="2"/>
    <x v="3"/>
    <n v="8"/>
    <x v="1"/>
    <x v="1"/>
    <x v="1"/>
    <x v="0"/>
  </r>
  <r>
    <s v="U084"/>
    <n v="49"/>
    <x v="0"/>
    <n v="7.5"/>
    <n v="4"/>
    <n v="7"/>
    <n v="2"/>
    <n v="4"/>
    <x v="4"/>
    <n v="8"/>
    <x v="3"/>
    <x v="1"/>
    <x v="0"/>
    <x v="0"/>
  </r>
  <r>
    <s v="U085"/>
    <n v="48"/>
    <x v="1"/>
    <n v="4"/>
    <n v="7"/>
    <n v="5"/>
    <n v="2"/>
    <n v="5"/>
    <x v="1"/>
    <n v="10"/>
    <x v="3"/>
    <x v="0"/>
    <x v="0"/>
    <x v="0"/>
  </r>
  <r>
    <s v="U086"/>
    <n v="38"/>
    <x v="2"/>
    <n v="5.7"/>
    <n v="5"/>
    <n v="6"/>
    <n v="3"/>
    <n v="2"/>
    <x v="3"/>
    <n v="9"/>
    <x v="0"/>
    <x v="0"/>
    <x v="0"/>
    <x v="0"/>
  </r>
  <r>
    <s v="U087"/>
    <n v="39"/>
    <x v="0"/>
    <n v="2.4"/>
    <n v="7"/>
    <n v="4"/>
    <n v="4"/>
    <n v="2"/>
    <x v="0"/>
    <n v="10"/>
    <x v="0"/>
    <x v="2"/>
    <x v="2"/>
    <x v="0"/>
  </r>
  <r>
    <s v="U088"/>
    <n v="37"/>
    <x v="2"/>
    <n v="3.2"/>
    <n v="8"/>
    <n v="7"/>
    <n v="3"/>
    <n v="1"/>
    <x v="4"/>
    <n v="10"/>
    <x v="0"/>
    <x v="0"/>
    <x v="0"/>
    <x v="0"/>
  </r>
  <r>
    <s v="U089"/>
    <n v="42"/>
    <x v="0"/>
    <n v="7.1"/>
    <n v="3"/>
    <n v="8"/>
    <n v="6"/>
    <n v="5"/>
    <x v="5"/>
    <n v="6"/>
    <x v="0"/>
    <x v="1"/>
    <x v="1"/>
    <x v="1"/>
  </r>
  <r>
    <s v="U090"/>
    <n v="16"/>
    <x v="0"/>
    <n v="3.8"/>
    <n v="10"/>
    <n v="6"/>
    <n v="5"/>
    <n v="0"/>
    <x v="4"/>
    <n v="10"/>
    <x v="2"/>
    <x v="0"/>
    <x v="0"/>
    <x v="0"/>
  </r>
  <r>
    <s v="U091"/>
    <n v="29"/>
    <x v="0"/>
    <n v="4"/>
    <n v="6"/>
    <n v="4"/>
    <n v="1"/>
    <n v="4"/>
    <x v="2"/>
    <n v="9"/>
    <x v="1"/>
    <x v="0"/>
    <x v="2"/>
    <x v="0"/>
  </r>
  <r>
    <s v="U092"/>
    <n v="18"/>
    <x v="0"/>
    <n v="5.5"/>
    <n v="6"/>
    <n v="6"/>
    <n v="4"/>
    <n v="2"/>
    <x v="1"/>
    <n v="9"/>
    <x v="2"/>
    <x v="0"/>
    <x v="0"/>
    <x v="0"/>
  </r>
  <r>
    <s v="U093"/>
    <n v="16"/>
    <x v="0"/>
    <n v="6.8"/>
    <n v="7"/>
    <n v="6"/>
    <n v="6"/>
    <n v="2"/>
    <x v="1"/>
    <n v="9"/>
    <x v="2"/>
    <x v="1"/>
    <x v="0"/>
    <x v="0"/>
  </r>
  <r>
    <s v="U094"/>
    <n v="20"/>
    <x v="0"/>
    <n v="3.6"/>
    <n v="7"/>
    <n v="7"/>
    <n v="2"/>
    <n v="1"/>
    <x v="4"/>
    <n v="8"/>
    <x v="2"/>
    <x v="0"/>
    <x v="0"/>
    <x v="0"/>
  </r>
  <r>
    <s v="U095"/>
    <n v="41"/>
    <x v="2"/>
    <n v="1"/>
    <n v="7"/>
    <n v="5"/>
    <n v="2"/>
    <n v="6"/>
    <x v="3"/>
    <n v="10"/>
    <x v="0"/>
    <x v="2"/>
    <x v="0"/>
    <x v="0"/>
  </r>
  <r>
    <s v="U096"/>
    <n v="29"/>
    <x v="0"/>
    <n v="3.9"/>
    <n v="7"/>
    <n v="6"/>
    <n v="2"/>
    <n v="3"/>
    <x v="3"/>
    <n v="10"/>
    <x v="1"/>
    <x v="0"/>
    <x v="0"/>
    <x v="0"/>
  </r>
  <r>
    <s v="U097"/>
    <n v="42"/>
    <x v="0"/>
    <n v="7.7"/>
    <n v="4"/>
    <n v="7"/>
    <n v="2"/>
    <n v="3"/>
    <x v="0"/>
    <n v="8"/>
    <x v="0"/>
    <x v="1"/>
    <x v="0"/>
    <x v="0"/>
  </r>
  <r>
    <s v="U098"/>
    <n v="24"/>
    <x v="2"/>
    <n v="6.1"/>
    <n v="4"/>
    <n v="9"/>
    <n v="0"/>
    <n v="4"/>
    <x v="0"/>
    <n v="6"/>
    <x v="2"/>
    <x v="1"/>
    <x v="1"/>
    <x v="1"/>
  </r>
  <r>
    <s v="U099"/>
    <n v="30"/>
    <x v="2"/>
    <n v="7.9"/>
    <n v="5"/>
    <n v="8"/>
    <n v="0"/>
    <n v="2"/>
    <x v="1"/>
    <n v="8"/>
    <x v="1"/>
    <x v="1"/>
    <x v="1"/>
    <x v="0"/>
  </r>
  <r>
    <s v="U100"/>
    <n v="30"/>
    <x v="2"/>
    <n v="3.5"/>
    <n v="8"/>
    <n v="4"/>
    <n v="3"/>
    <n v="3"/>
    <x v="0"/>
    <n v="10"/>
    <x v="1"/>
    <x v="0"/>
    <x v="2"/>
    <x v="0"/>
  </r>
  <r>
    <s v="U101"/>
    <n v="41"/>
    <x v="0"/>
    <n v="2.5"/>
    <n v="9"/>
    <n v="4"/>
    <n v="6"/>
    <n v="3"/>
    <x v="5"/>
    <n v="10"/>
    <x v="0"/>
    <x v="2"/>
    <x v="2"/>
    <x v="0"/>
  </r>
  <r>
    <s v="U102"/>
    <n v="28"/>
    <x v="0"/>
    <n v="6.3"/>
    <n v="5"/>
    <n v="7"/>
    <n v="2"/>
    <n v="2"/>
    <x v="0"/>
    <n v="7"/>
    <x v="1"/>
    <x v="1"/>
    <x v="0"/>
    <x v="1"/>
  </r>
  <r>
    <s v="U103"/>
    <n v="47"/>
    <x v="0"/>
    <n v="5.9"/>
    <n v="4"/>
    <n v="7"/>
    <n v="2"/>
    <n v="4"/>
    <x v="5"/>
    <n v="7"/>
    <x v="3"/>
    <x v="0"/>
    <x v="0"/>
    <x v="1"/>
  </r>
  <r>
    <s v="U104"/>
    <n v="47"/>
    <x v="0"/>
    <n v="6"/>
    <n v="6"/>
    <n v="7"/>
    <n v="6"/>
    <n v="2"/>
    <x v="0"/>
    <n v="9"/>
    <x v="3"/>
    <x v="0"/>
    <x v="0"/>
    <x v="0"/>
  </r>
  <r>
    <s v="U105"/>
    <n v="19"/>
    <x v="0"/>
    <n v="7.2"/>
    <n v="5"/>
    <n v="6"/>
    <n v="1"/>
    <n v="0"/>
    <x v="1"/>
    <n v="9"/>
    <x v="2"/>
    <x v="1"/>
    <x v="0"/>
    <x v="0"/>
  </r>
  <r>
    <s v="U106"/>
    <n v="45"/>
    <x v="0"/>
    <n v="6.3"/>
    <n v="7"/>
    <n v="8"/>
    <n v="0"/>
    <n v="2"/>
    <x v="1"/>
    <n v="6"/>
    <x v="0"/>
    <x v="1"/>
    <x v="1"/>
    <x v="1"/>
  </r>
  <r>
    <s v="U107"/>
    <n v="38"/>
    <x v="0"/>
    <n v="6.2"/>
    <n v="7"/>
    <n v="7"/>
    <n v="1"/>
    <n v="3"/>
    <x v="5"/>
    <n v="9"/>
    <x v="0"/>
    <x v="1"/>
    <x v="0"/>
    <x v="0"/>
  </r>
  <r>
    <s v="U108"/>
    <n v="30"/>
    <x v="0"/>
    <n v="6.8"/>
    <n v="7"/>
    <n v="7"/>
    <n v="2"/>
    <n v="1"/>
    <x v="4"/>
    <n v="10"/>
    <x v="1"/>
    <x v="1"/>
    <x v="0"/>
    <x v="0"/>
  </r>
  <r>
    <s v="U109"/>
    <n v="44"/>
    <x v="0"/>
    <n v="6.4"/>
    <n v="6"/>
    <n v="8"/>
    <n v="0"/>
    <n v="1"/>
    <x v="1"/>
    <n v="7"/>
    <x v="0"/>
    <x v="1"/>
    <x v="1"/>
    <x v="1"/>
  </r>
  <r>
    <s v="U110"/>
    <n v="28"/>
    <x v="0"/>
    <n v="7"/>
    <n v="6"/>
    <n v="6"/>
    <n v="3"/>
    <n v="2"/>
    <x v="4"/>
    <n v="8"/>
    <x v="1"/>
    <x v="1"/>
    <x v="0"/>
    <x v="0"/>
  </r>
  <r>
    <s v="U111"/>
    <n v="47"/>
    <x v="0"/>
    <n v="7.3"/>
    <n v="4"/>
    <n v="6"/>
    <n v="5"/>
    <n v="4"/>
    <x v="3"/>
    <n v="8"/>
    <x v="3"/>
    <x v="1"/>
    <x v="0"/>
    <x v="0"/>
  </r>
  <r>
    <s v="U112"/>
    <n v="22"/>
    <x v="2"/>
    <n v="8.3000000000000007"/>
    <n v="5"/>
    <n v="10"/>
    <n v="0"/>
    <n v="2"/>
    <x v="5"/>
    <n v="6"/>
    <x v="2"/>
    <x v="1"/>
    <x v="1"/>
    <x v="1"/>
  </r>
  <r>
    <s v="U113"/>
    <n v="37"/>
    <x v="2"/>
    <n v="4.3"/>
    <n v="6"/>
    <n v="8"/>
    <n v="3"/>
    <n v="5"/>
    <x v="1"/>
    <n v="9"/>
    <x v="0"/>
    <x v="0"/>
    <x v="1"/>
    <x v="0"/>
  </r>
  <r>
    <s v="U114"/>
    <n v="43"/>
    <x v="0"/>
    <n v="6.4"/>
    <n v="6"/>
    <n v="7"/>
    <n v="4"/>
    <n v="2"/>
    <x v="2"/>
    <n v="7"/>
    <x v="0"/>
    <x v="1"/>
    <x v="0"/>
    <x v="1"/>
  </r>
  <r>
    <s v="U115"/>
    <n v="17"/>
    <x v="2"/>
    <n v="4.8"/>
    <n v="7"/>
    <n v="6"/>
    <n v="3"/>
    <n v="3"/>
    <x v="3"/>
    <n v="10"/>
    <x v="2"/>
    <x v="0"/>
    <x v="0"/>
    <x v="0"/>
  </r>
  <r>
    <s v="U116"/>
    <n v="21"/>
    <x v="2"/>
    <n v="4"/>
    <n v="9"/>
    <n v="5"/>
    <n v="3"/>
    <n v="2"/>
    <x v="4"/>
    <n v="10"/>
    <x v="2"/>
    <x v="0"/>
    <x v="0"/>
    <x v="0"/>
  </r>
  <r>
    <s v="U117"/>
    <n v="43"/>
    <x v="0"/>
    <n v="4.3"/>
    <n v="7"/>
    <n v="6"/>
    <n v="3"/>
    <n v="4"/>
    <x v="1"/>
    <n v="9"/>
    <x v="0"/>
    <x v="0"/>
    <x v="0"/>
    <x v="0"/>
  </r>
  <r>
    <s v="U118"/>
    <n v="43"/>
    <x v="2"/>
    <n v="6.4"/>
    <n v="6"/>
    <n v="7"/>
    <n v="1"/>
    <n v="1"/>
    <x v="5"/>
    <n v="9"/>
    <x v="0"/>
    <x v="1"/>
    <x v="0"/>
    <x v="0"/>
  </r>
  <r>
    <s v="U119"/>
    <n v="35"/>
    <x v="2"/>
    <n v="6.3"/>
    <n v="6"/>
    <n v="7"/>
    <n v="6"/>
    <n v="4"/>
    <x v="0"/>
    <n v="9"/>
    <x v="1"/>
    <x v="1"/>
    <x v="0"/>
    <x v="0"/>
  </r>
  <r>
    <s v="U120"/>
    <n v="45"/>
    <x v="0"/>
    <n v="6.2"/>
    <n v="5"/>
    <n v="8"/>
    <n v="5"/>
    <n v="3"/>
    <x v="2"/>
    <n v="8"/>
    <x v="0"/>
    <x v="1"/>
    <x v="1"/>
    <x v="0"/>
  </r>
  <r>
    <s v="U121"/>
    <n v="26"/>
    <x v="0"/>
    <n v="5.0999999999999996"/>
    <n v="6"/>
    <n v="5"/>
    <n v="5"/>
    <n v="2"/>
    <x v="4"/>
    <n v="9"/>
    <x v="1"/>
    <x v="0"/>
    <x v="0"/>
    <x v="0"/>
  </r>
  <r>
    <s v="U122"/>
    <n v="43"/>
    <x v="2"/>
    <n v="5.5"/>
    <n v="8"/>
    <n v="6"/>
    <n v="5"/>
    <n v="2"/>
    <x v="3"/>
    <n v="10"/>
    <x v="0"/>
    <x v="0"/>
    <x v="0"/>
    <x v="0"/>
  </r>
  <r>
    <s v="U123"/>
    <n v="40"/>
    <x v="2"/>
    <n v="7"/>
    <n v="4"/>
    <n v="6"/>
    <n v="0"/>
    <n v="5"/>
    <x v="5"/>
    <n v="8"/>
    <x v="0"/>
    <x v="1"/>
    <x v="0"/>
    <x v="0"/>
  </r>
  <r>
    <s v="U124"/>
    <n v="48"/>
    <x v="0"/>
    <n v="2.8"/>
    <n v="7"/>
    <n v="5"/>
    <n v="5"/>
    <n v="3"/>
    <x v="2"/>
    <n v="10"/>
    <x v="3"/>
    <x v="2"/>
    <x v="0"/>
    <x v="0"/>
  </r>
  <r>
    <s v="U125"/>
    <n v="16"/>
    <x v="0"/>
    <n v="5.5"/>
    <n v="7"/>
    <n v="7"/>
    <n v="4"/>
    <n v="1"/>
    <x v="5"/>
    <n v="9"/>
    <x v="2"/>
    <x v="0"/>
    <x v="0"/>
    <x v="0"/>
  </r>
  <r>
    <s v="U126"/>
    <n v="42"/>
    <x v="0"/>
    <n v="5.7"/>
    <n v="7"/>
    <n v="7"/>
    <n v="0"/>
    <n v="1"/>
    <x v="1"/>
    <n v="9"/>
    <x v="0"/>
    <x v="0"/>
    <x v="0"/>
    <x v="0"/>
  </r>
  <r>
    <s v="U127"/>
    <n v="28"/>
    <x v="2"/>
    <n v="6.9"/>
    <n v="5"/>
    <n v="8"/>
    <n v="3"/>
    <n v="3"/>
    <x v="0"/>
    <n v="8"/>
    <x v="1"/>
    <x v="1"/>
    <x v="1"/>
    <x v="0"/>
  </r>
  <r>
    <s v="U128"/>
    <n v="18"/>
    <x v="2"/>
    <n v="3.1"/>
    <n v="7"/>
    <n v="6"/>
    <n v="4"/>
    <n v="3"/>
    <x v="3"/>
    <n v="9"/>
    <x v="2"/>
    <x v="0"/>
    <x v="0"/>
    <x v="0"/>
  </r>
  <r>
    <s v="U129"/>
    <n v="21"/>
    <x v="0"/>
    <n v="8.1999999999999993"/>
    <n v="5"/>
    <n v="7"/>
    <n v="6"/>
    <n v="4"/>
    <x v="5"/>
    <n v="7"/>
    <x v="2"/>
    <x v="1"/>
    <x v="0"/>
    <x v="1"/>
  </r>
  <r>
    <s v="U130"/>
    <n v="23"/>
    <x v="0"/>
    <n v="5.9"/>
    <n v="5"/>
    <n v="5"/>
    <n v="4"/>
    <n v="0"/>
    <x v="4"/>
    <n v="9"/>
    <x v="2"/>
    <x v="0"/>
    <x v="0"/>
    <x v="0"/>
  </r>
  <r>
    <s v="U131"/>
    <n v="42"/>
    <x v="2"/>
    <n v="6"/>
    <n v="5"/>
    <n v="8"/>
    <n v="1"/>
    <n v="1"/>
    <x v="1"/>
    <n v="7"/>
    <x v="0"/>
    <x v="0"/>
    <x v="1"/>
    <x v="1"/>
  </r>
  <r>
    <s v="U132"/>
    <n v="24"/>
    <x v="0"/>
    <n v="4.8"/>
    <n v="8"/>
    <n v="4"/>
    <n v="6"/>
    <n v="4"/>
    <x v="1"/>
    <n v="10"/>
    <x v="2"/>
    <x v="0"/>
    <x v="2"/>
    <x v="0"/>
  </r>
  <r>
    <s v="U133"/>
    <n v="48"/>
    <x v="0"/>
    <n v="6.5"/>
    <n v="6"/>
    <n v="8"/>
    <n v="3"/>
    <n v="3"/>
    <x v="3"/>
    <n v="8"/>
    <x v="3"/>
    <x v="1"/>
    <x v="1"/>
    <x v="0"/>
  </r>
  <r>
    <s v="U134"/>
    <n v="39"/>
    <x v="2"/>
    <n v="5.6"/>
    <n v="8"/>
    <n v="6"/>
    <n v="2"/>
    <n v="3"/>
    <x v="1"/>
    <n v="9"/>
    <x v="0"/>
    <x v="0"/>
    <x v="0"/>
    <x v="0"/>
  </r>
  <r>
    <s v="U135"/>
    <n v="30"/>
    <x v="2"/>
    <n v="7.7"/>
    <n v="4"/>
    <n v="10"/>
    <n v="2"/>
    <n v="1"/>
    <x v="4"/>
    <n v="8"/>
    <x v="1"/>
    <x v="1"/>
    <x v="1"/>
    <x v="0"/>
  </r>
  <r>
    <s v="U136"/>
    <n v="47"/>
    <x v="2"/>
    <n v="2.9"/>
    <n v="8"/>
    <n v="5"/>
    <n v="0"/>
    <n v="1"/>
    <x v="5"/>
    <n v="10"/>
    <x v="3"/>
    <x v="2"/>
    <x v="0"/>
    <x v="0"/>
  </r>
  <r>
    <s v="U137"/>
    <n v="47"/>
    <x v="2"/>
    <n v="5.8"/>
    <n v="6"/>
    <n v="7"/>
    <n v="3"/>
    <n v="4"/>
    <x v="3"/>
    <n v="10"/>
    <x v="3"/>
    <x v="0"/>
    <x v="0"/>
    <x v="0"/>
  </r>
  <r>
    <s v="U138"/>
    <n v="39"/>
    <x v="0"/>
    <n v="6.2"/>
    <n v="5"/>
    <n v="8"/>
    <n v="4"/>
    <n v="4"/>
    <x v="1"/>
    <n v="7"/>
    <x v="0"/>
    <x v="1"/>
    <x v="1"/>
    <x v="1"/>
  </r>
  <r>
    <s v="U139"/>
    <n v="27"/>
    <x v="0"/>
    <n v="5.2"/>
    <n v="7"/>
    <n v="5"/>
    <n v="2"/>
    <n v="1"/>
    <x v="1"/>
    <n v="10"/>
    <x v="1"/>
    <x v="0"/>
    <x v="0"/>
    <x v="0"/>
  </r>
  <r>
    <s v="U140"/>
    <n v="17"/>
    <x v="2"/>
    <n v="4.8"/>
    <n v="8"/>
    <n v="5"/>
    <n v="4"/>
    <n v="1"/>
    <x v="4"/>
    <n v="10"/>
    <x v="2"/>
    <x v="0"/>
    <x v="0"/>
    <x v="0"/>
  </r>
  <r>
    <s v="U141"/>
    <n v="18"/>
    <x v="0"/>
    <n v="4.8"/>
    <n v="6"/>
    <n v="5"/>
    <n v="1"/>
    <n v="2"/>
    <x v="0"/>
    <n v="10"/>
    <x v="2"/>
    <x v="0"/>
    <x v="0"/>
    <x v="0"/>
  </r>
  <r>
    <s v="U142"/>
    <n v="32"/>
    <x v="0"/>
    <n v="5.8"/>
    <n v="6"/>
    <n v="6"/>
    <n v="3"/>
    <n v="1"/>
    <x v="0"/>
    <n v="10"/>
    <x v="1"/>
    <x v="0"/>
    <x v="0"/>
    <x v="0"/>
  </r>
  <r>
    <s v="U143"/>
    <n v="17"/>
    <x v="0"/>
    <n v="2.2000000000000002"/>
    <n v="10"/>
    <n v="5"/>
    <n v="4"/>
    <n v="1"/>
    <x v="1"/>
    <n v="10"/>
    <x v="2"/>
    <x v="2"/>
    <x v="0"/>
    <x v="0"/>
  </r>
  <r>
    <s v="U144"/>
    <n v="17"/>
    <x v="0"/>
    <n v="7.2"/>
    <n v="7"/>
    <n v="8"/>
    <n v="3"/>
    <n v="1"/>
    <x v="5"/>
    <n v="8"/>
    <x v="2"/>
    <x v="1"/>
    <x v="1"/>
    <x v="0"/>
  </r>
  <r>
    <s v="U145"/>
    <n v="43"/>
    <x v="0"/>
    <n v="4.5999999999999996"/>
    <n v="8"/>
    <n v="7"/>
    <n v="0"/>
    <n v="2"/>
    <x v="3"/>
    <n v="9"/>
    <x v="0"/>
    <x v="0"/>
    <x v="0"/>
    <x v="0"/>
  </r>
  <r>
    <s v="U146"/>
    <n v="38"/>
    <x v="0"/>
    <n v="5.7"/>
    <n v="7"/>
    <n v="5"/>
    <n v="2"/>
    <n v="1"/>
    <x v="1"/>
    <n v="10"/>
    <x v="0"/>
    <x v="0"/>
    <x v="0"/>
    <x v="0"/>
  </r>
  <r>
    <s v="U147"/>
    <n v="47"/>
    <x v="0"/>
    <n v="6.2"/>
    <n v="5"/>
    <n v="7"/>
    <n v="6"/>
    <n v="1"/>
    <x v="2"/>
    <n v="9"/>
    <x v="3"/>
    <x v="1"/>
    <x v="0"/>
    <x v="0"/>
  </r>
  <r>
    <s v="U148"/>
    <n v="48"/>
    <x v="0"/>
    <n v="4.5999999999999996"/>
    <n v="7"/>
    <n v="5"/>
    <n v="2"/>
    <n v="3"/>
    <x v="3"/>
    <n v="10"/>
    <x v="3"/>
    <x v="0"/>
    <x v="0"/>
    <x v="0"/>
  </r>
  <r>
    <s v="U149"/>
    <n v="16"/>
    <x v="2"/>
    <n v="5.3"/>
    <n v="7"/>
    <n v="6"/>
    <n v="3"/>
    <n v="2"/>
    <x v="0"/>
    <n v="10"/>
    <x v="2"/>
    <x v="0"/>
    <x v="0"/>
    <x v="0"/>
  </r>
  <r>
    <s v="U150"/>
    <n v="34"/>
    <x v="2"/>
    <n v="1.8"/>
    <n v="9"/>
    <n v="7"/>
    <n v="3"/>
    <n v="3"/>
    <x v="1"/>
    <n v="10"/>
    <x v="1"/>
    <x v="2"/>
    <x v="0"/>
    <x v="0"/>
  </r>
  <r>
    <s v="U151"/>
    <n v="17"/>
    <x v="2"/>
    <n v="6.8"/>
    <n v="5"/>
    <n v="8"/>
    <n v="6"/>
    <n v="0"/>
    <x v="4"/>
    <n v="6"/>
    <x v="2"/>
    <x v="1"/>
    <x v="1"/>
    <x v="1"/>
  </r>
  <r>
    <s v="U152"/>
    <n v="41"/>
    <x v="2"/>
    <n v="7.4"/>
    <n v="4"/>
    <n v="9"/>
    <n v="6"/>
    <n v="3"/>
    <x v="2"/>
    <n v="5"/>
    <x v="0"/>
    <x v="1"/>
    <x v="1"/>
    <x v="1"/>
  </r>
  <r>
    <s v="U153"/>
    <n v="47"/>
    <x v="2"/>
    <n v="2.4"/>
    <n v="7"/>
    <n v="7"/>
    <n v="5"/>
    <n v="6"/>
    <x v="1"/>
    <n v="9"/>
    <x v="3"/>
    <x v="2"/>
    <x v="0"/>
    <x v="0"/>
  </r>
  <r>
    <s v="U154"/>
    <n v="21"/>
    <x v="0"/>
    <n v="4.8"/>
    <n v="5"/>
    <n v="7"/>
    <n v="1"/>
    <n v="2"/>
    <x v="5"/>
    <n v="8"/>
    <x v="2"/>
    <x v="0"/>
    <x v="0"/>
    <x v="0"/>
  </r>
  <r>
    <s v="U155"/>
    <n v="47"/>
    <x v="2"/>
    <n v="3.3"/>
    <n v="8"/>
    <n v="5"/>
    <n v="4"/>
    <n v="4"/>
    <x v="2"/>
    <n v="10"/>
    <x v="3"/>
    <x v="0"/>
    <x v="0"/>
    <x v="0"/>
  </r>
  <r>
    <s v="U156"/>
    <n v="19"/>
    <x v="2"/>
    <n v="5.2"/>
    <n v="7"/>
    <n v="5"/>
    <n v="4"/>
    <n v="4"/>
    <x v="1"/>
    <n v="10"/>
    <x v="2"/>
    <x v="0"/>
    <x v="0"/>
    <x v="0"/>
  </r>
  <r>
    <s v="U157"/>
    <n v="26"/>
    <x v="2"/>
    <n v="6.7"/>
    <n v="5"/>
    <n v="7"/>
    <n v="2"/>
    <n v="4"/>
    <x v="5"/>
    <n v="8"/>
    <x v="1"/>
    <x v="1"/>
    <x v="0"/>
    <x v="0"/>
  </r>
  <r>
    <s v="U158"/>
    <n v="32"/>
    <x v="0"/>
    <n v="7.3"/>
    <n v="5"/>
    <n v="7"/>
    <n v="1"/>
    <n v="3"/>
    <x v="2"/>
    <n v="8"/>
    <x v="1"/>
    <x v="1"/>
    <x v="0"/>
    <x v="0"/>
  </r>
  <r>
    <s v="U159"/>
    <n v="39"/>
    <x v="0"/>
    <n v="7.5"/>
    <n v="5"/>
    <n v="6"/>
    <n v="6"/>
    <n v="3"/>
    <x v="5"/>
    <n v="7"/>
    <x v="0"/>
    <x v="1"/>
    <x v="0"/>
    <x v="1"/>
  </r>
  <r>
    <s v="U160"/>
    <n v="20"/>
    <x v="0"/>
    <n v="7.9"/>
    <n v="5"/>
    <n v="9"/>
    <n v="2"/>
    <n v="4"/>
    <x v="5"/>
    <n v="5"/>
    <x v="2"/>
    <x v="1"/>
    <x v="1"/>
    <x v="1"/>
  </r>
  <r>
    <s v="U161"/>
    <n v="49"/>
    <x v="0"/>
    <n v="5.0999999999999996"/>
    <n v="5"/>
    <n v="7"/>
    <n v="6"/>
    <n v="3"/>
    <x v="2"/>
    <n v="8"/>
    <x v="3"/>
    <x v="0"/>
    <x v="0"/>
    <x v="0"/>
  </r>
  <r>
    <s v="U162"/>
    <n v="21"/>
    <x v="2"/>
    <n v="3.4"/>
    <n v="9"/>
    <n v="7"/>
    <n v="5"/>
    <n v="1"/>
    <x v="2"/>
    <n v="8"/>
    <x v="2"/>
    <x v="0"/>
    <x v="0"/>
    <x v="0"/>
  </r>
  <r>
    <s v="U163"/>
    <n v="37"/>
    <x v="2"/>
    <n v="5.3"/>
    <n v="7"/>
    <n v="6"/>
    <n v="4"/>
    <n v="0"/>
    <x v="5"/>
    <n v="10"/>
    <x v="0"/>
    <x v="0"/>
    <x v="0"/>
    <x v="0"/>
  </r>
  <r>
    <s v="U164"/>
    <n v="26"/>
    <x v="0"/>
    <n v="6.6"/>
    <n v="6"/>
    <n v="8"/>
    <n v="4"/>
    <n v="0"/>
    <x v="0"/>
    <n v="8"/>
    <x v="1"/>
    <x v="1"/>
    <x v="1"/>
    <x v="0"/>
  </r>
  <r>
    <s v="U165"/>
    <n v="31"/>
    <x v="1"/>
    <n v="3.3"/>
    <n v="9"/>
    <n v="5"/>
    <n v="0"/>
    <n v="2"/>
    <x v="2"/>
    <n v="10"/>
    <x v="1"/>
    <x v="0"/>
    <x v="0"/>
    <x v="0"/>
  </r>
  <r>
    <s v="U166"/>
    <n v="48"/>
    <x v="2"/>
    <n v="8.5"/>
    <n v="4"/>
    <n v="10"/>
    <n v="3"/>
    <n v="3"/>
    <x v="1"/>
    <n v="8"/>
    <x v="3"/>
    <x v="1"/>
    <x v="1"/>
    <x v="0"/>
  </r>
  <r>
    <s v="U167"/>
    <n v="24"/>
    <x v="0"/>
    <n v="7.1"/>
    <n v="6"/>
    <n v="8"/>
    <n v="6"/>
    <n v="1"/>
    <x v="3"/>
    <n v="7"/>
    <x v="2"/>
    <x v="1"/>
    <x v="1"/>
    <x v="1"/>
  </r>
  <r>
    <s v="U168"/>
    <n v="21"/>
    <x v="0"/>
    <n v="5.0999999999999996"/>
    <n v="6"/>
    <n v="5"/>
    <n v="4"/>
    <n v="4"/>
    <x v="4"/>
    <n v="10"/>
    <x v="2"/>
    <x v="0"/>
    <x v="0"/>
    <x v="0"/>
  </r>
  <r>
    <s v="U169"/>
    <n v="31"/>
    <x v="0"/>
    <n v="4.2"/>
    <n v="8"/>
    <n v="6"/>
    <n v="3"/>
    <n v="2"/>
    <x v="5"/>
    <n v="10"/>
    <x v="1"/>
    <x v="0"/>
    <x v="0"/>
    <x v="0"/>
  </r>
  <r>
    <s v="U170"/>
    <n v="44"/>
    <x v="0"/>
    <n v="4.3"/>
    <n v="8"/>
    <n v="6"/>
    <n v="6"/>
    <n v="2"/>
    <x v="5"/>
    <n v="10"/>
    <x v="0"/>
    <x v="0"/>
    <x v="0"/>
    <x v="0"/>
  </r>
  <r>
    <s v="U171"/>
    <n v="18"/>
    <x v="0"/>
    <n v="5.6"/>
    <n v="5"/>
    <n v="7"/>
    <n v="3"/>
    <n v="1"/>
    <x v="4"/>
    <n v="6"/>
    <x v="2"/>
    <x v="0"/>
    <x v="0"/>
    <x v="1"/>
  </r>
  <r>
    <s v="U172"/>
    <n v="35"/>
    <x v="0"/>
    <n v="5.0999999999999996"/>
    <n v="7"/>
    <n v="7"/>
    <n v="2"/>
    <n v="0"/>
    <x v="0"/>
    <n v="7"/>
    <x v="1"/>
    <x v="0"/>
    <x v="0"/>
    <x v="1"/>
  </r>
  <r>
    <s v="U173"/>
    <n v="34"/>
    <x v="0"/>
    <n v="7.2"/>
    <n v="6"/>
    <n v="6"/>
    <n v="3"/>
    <n v="3"/>
    <x v="4"/>
    <n v="8"/>
    <x v="1"/>
    <x v="1"/>
    <x v="0"/>
    <x v="0"/>
  </r>
  <r>
    <s v="U174"/>
    <n v="41"/>
    <x v="0"/>
    <n v="4.9000000000000004"/>
    <n v="7"/>
    <n v="5"/>
    <n v="5"/>
    <n v="5"/>
    <x v="2"/>
    <n v="10"/>
    <x v="0"/>
    <x v="0"/>
    <x v="0"/>
    <x v="0"/>
  </r>
  <r>
    <s v="U175"/>
    <n v="18"/>
    <x v="2"/>
    <n v="6.4"/>
    <n v="6"/>
    <n v="8"/>
    <n v="0"/>
    <n v="2"/>
    <x v="4"/>
    <n v="8"/>
    <x v="2"/>
    <x v="1"/>
    <x v="1"/>
    <x v="0"/>
  </r>
  <r>
    <s v="U176"/>
    <n v="34"/>
    <x v="0"/>
    <n v="5.4"/>
    <n v="6"/>
    <n v="6"/>
    <n v="4"/>
    <n v="0"/>
    <x v="5"/>
    <n v="10"/>
    <x v="1"/>
    <x v="0"/>
    <x v="0"/>
    <x v="0"/>
  </r>
  <r>
    <s v="U177"/>
    <n v="35"/>
    <x v="2"/>
    <n v="6"/>
    <n v="7"/>
    <n v="7"/>
    <n v="5"/>
    <n v="4"/>
    <x v="4"/>
    <n v="8"/>
    <x v="1"/>
    <x v="0"/>
    <x v="0"/>
    <x v="0"/>
  </r>
  <r>
    <s v="U178"/>
    <n v="47"/>
    <x v="0"/>
    <n v="5.0999999999999996"/>
    <n v="7"/>
    <n v="4"/>
    <n v="2"/>
    <n v="0"/>
    <x v="3"/>
    <n v="9"/>
    <x v="3"/>
    <x v="0"/>
    <x v="2"/>
    <x v="0"/>
  </r>
  <r>
    <s v="U179"/>
    <n v="22"/>
    <x v="1"/>
    <n v="6.8"/>
    <n v="5"/>
    <n v="10"/>
    <n v="5"/>
    <n v="1"/>
    <x v="1"/>
    <n v="7"/>
    <x v="2"/>
    <x v="1"/>
    <x v="1"/>
    <x v="1"/>
  </r>
  <r>
    <s v="U180"/>
    <n v="48"/>
    <x v="0"/>
    <n v="6.8"/>
    <n v="4"/>
    <n v="7"/>
    <n v="4"/>
    <n v="2"/>
    <x v="2"/>
    <n v="7"/>
    <x v="3"/>
    <x v="1"/>
    <x v="0"/>
    <x v="1"/>
  </r>
  <r>
    <s v="U181"/>
    <n v="33"/>
    <x v="0"/>
    <n v="6.3"/>
    <n v="6"/>
    <n v="8"/>
    <n v="7"/>
    <n v="3"/>
    <x v="4"/>
    <n v="6"/>
    <x v="1"/>
    <x v="1"/>
    <x v="1"/>
    <x v="1"/>
  </r>
  <r>
    <s v="U182"/>
    <n v="16"/>
    <x v="1"/>
    <n v="6.6"/>
    <n v="6"/>
    <n v="7"/>
    <n v="1"/>
    <n v="1"/>
    <x v="5"/>
    <n v="8"/>
    <x v="2"/>
    <x v="1"/>
    <x v="0"/>
    <x v="0"/>
  </r>
  <r>
    <s v="U183"/>
    <n v="26"/>
    <x v="2"/>
    <n v="3.8"/>
    <n v="10"/>
    <n v="6"/>
    <n v="5"/>
    <n v="2"/>
    <x v="1"/>
    <n v="10"/>
    <x v="1"/>
    <x v="0"/>
    <x v="0"/>
    <x v="0"/>
  </r>
  <r>
    <s v="U184"/>
    <n v="43"/>
    <x v="2"/>
    <n v="6.1"/>
    <n v="7"/>
    <n v="9"/>
    <n v="1"/>
    <n v="4"/>
    <x v="2"/>
    <n v="7"/>
    <x v="0"/>
    <x v="1"/>
    <x v="1"/>
    <x v="1"/>
  </r>
  <r>
    <s v="U185"/>
    <n v="40"/>
    <x v="0"/>
    <n v="7.7"/>
    <n v="3"/>
    <n v="9"/>
    <n v="0"/>
    <n v="4"/>
    <x v="5"/>
    <n v="5"/>
    <x v="0"/>
    <x v="1"/>
    <x v="1"/>
    <x v="1"/>
  </r>
  <r>
    <s v="U186"/>
    <n v="38"/>
    <x v="0"/>
    <n v="6.4"/>
    <n v="6"/>
    <n v="7"/>
    <n v="0"/>
    <n v="4"/>
    <x v="0"/>
    <n v="8"/>
    <x v="0"/>
    <x v="1"/>
    <x v="0"/>
    <x v="0"/>
  </r>
  <r>
    <s v="U187"/>
    <n v="46"/>
    <x v="2"/>
    <n v="3.6"/>
    <n v="9"/>
    <n v="5"/>
    <n v="4"/>
    <n v="5"/>
    <x v="3"/>
    <n v="10"/>
    <x v="3"/>
    <x v="0"/>
    <x v="0"/>
    <x v="0"/>
  </r>
  <r>
    <s v="U188"/>
    <n v="45"/>
    <x v="2"/>
    <n v="5.4"/>
    <n v="7"/>
    <n v="8"/>
    <n v="3"/>
    <n v="4"/>
    <x v="0"/>
    <n v="7"/>
    <x v="0"/>
    <x v="0"/>
    <x v="1"/>
    <x v="1"/>
  </r>
  <r>
    <s v="U189"/>
    <n v="22"/>
    <x v="2"/>
    <n v="6.2"/>
    <n v="6"/>
    <n v="9"/>
    <n v="2"/>
    <n v="2"/>
    <x v="3"/>
    <n v="6"/>
    <x v="2"/>
    <x v="1"/>
    <x v="1"/>
    <x v="1"/>
  </r>
  <r>
    <s v="U190"/>
    <n v="31"/>
    <x v="2"/>
    <n v="4.0999999999999996"/>
    <n v="8"/>
    <n v="6"/>
    <n v="0"/>
    <n v="4"/>
    <x v="4"/>
    <n v="10"/>
    <x v="1"/>
    <x v="0"/>
    <x v="0"/>
    <x v="0"/>
  </r>
  <r>
    <s v="U191"/>
    <n v="41"/>
    <x v="0"/>
    <n v="3.1"/>
    <n v="7"/>
    <n v="7"/>
    <n v="2"/>
    <n v="3"/>
    <x v="2"/>
    <n v="9"/>
    <x v="0"/>
    <x v="0"/>
    <x v="0"/>
    <x v="0"/>
  </r>
  <r>
    <s v="U192"/>
    <n v="17"/>
    <x v="2"/>
    <n v="4.9000000000000004"/>
    <n v="7"/>
    <n v="6"/>
    <n v="3"/>
    <n v="3"/>
    <x v="4"/>
    <n v="10"/>
    <x v="2"/>
    <x v="0"/>
    <x v="0"/>
    <x v="0"/>
  </r>
  <r>
    <s v="U193"/>
    <n v="16"/>
    <x v="0"/>
    <n v="4.2"/>
    <n v="7"/>
    <n v="7"/>
    <n v="5"/>
    <n v="3"/>
    <x v="3"/>
    <n v="8"/>
    <x v="2"/>
    <x v="0"/>
    <x v="0"/>
    <x v="0"/>
  </r>
  <r>
    <s v="U194"/>
    <n v="27"/>
    <x v="0"/>
    <n v="5.5"/>
    <n v="6"/>
    <n v="8"/>
    <n v="3"/>
    <n v="1"/>
    <x v="3"/>
    <n v="7"/>
    <x v="1"/>
    <x v="0"/>
    <x v="1"/>
    <x v="1"/>
  </r>
  <r>
    <s v="U195"/>
    <n v="20"/>
    <x v="0"/>
    <n v="2.6"/>
    <n v="9"/>
    <n v="4"/>
    <n v="4"/>
    <n v="1"/>
    <x v="3"/>
    <n v="10"/>
    <x v="2"/>
    <x v="2"/>
    <x v="2"/>
    <x v="0"/>
  </r>
  <r>
    <s v="U196"/>
    <n v="47"/>
    <x v="2"/>
    <n v="6.5"/>
    <n v="5"/>
    <n v="7"/>
    <n v="2"/>
    <n v="2"/>
    <x v="1"/>
    <n v="8"/>
    <x v="3"/>
    <x v="1"/>
    <x v="0"/>
    <x v="0"/>
  </r>
  <r>
    <s v="U197"/>
    <n v="24"/>
    <x v="0"/>
    <n v="4.4000000000000004"/>
    <n v="8"/>
    <n v="7"/>
    <n v="6"/>
    <n v="3"/>
    <x v="5"/>
    <n v="10"/>
    <x v="2"/>
    <x v="0"/>
    <x v="0"/>
    <x v="0"/>
  </r>
  <r>
    <s v="U198"/>
    <n v="34"/>
    <x v="0"/>
    <n v="7.3"/>
    <n v="5"/>
    <n v="7"/>
    <n v="1"/>
    <n v="1"/>
    <x v="2"/>
    <n v="6"/>
    <x v="1"/>
    <x v="1"/>
    <x v="0"/>
    <x v="1"/>
  </r>
  <r>
    <s v="U199"/>
    <n v="31"/>
    <x v="2"/>
    <n v="5"/>
    <n v="7"/>
    <n v="5"/>
    <n v="2"/>
    <n v="3"/>
    <x v="4"/>
    <n v="10"/>
    <x v="1"/>
    <x v="0"/>
    <x v="0"/>
    <x v="0"/>
  </r>
  <r>
    <s v="U200"/>
    <n v="18"/>
    <x v="0"/>
    <n v="5.5"/>
    <n v="5"/>
    <n v="6"/>
    <n v="2"/>
    <n v="6"/>
    <x v="4"/>
    <n v="9"/>
    <x v="2"/>
    <x v="0"/>
    <x v="0"/>
    <x v="0"/>
  </r>
  <r>
    <s v="U201"/>
    <n v="35"/>
    <x v="2"/>
    <n v="5.2"/>
    <n v="7"/>
    <n v="6"/>
    <n v="4"/>
    <n v="0"/>
    <x v="0"/>
    <n v="10"/>
    <x v="1"/>
    <x v="0"/>
    <x v="0"/>
    <x v="0"/>
  </r>
  <r>
    <s v="U202"/>
    <n v="39"/>
    <x v="0"/>
    <n v="4.3"/>
    <n v="9"/>
    <n v="7"/>
    <n v="1"/>
    <n v="3"/>
    <x v="3"/>
    <n v="9"/>
    <x v="0"/>
    <x v="0"/>
    <x v="0"/>
    <x v="0"/>
  </r>
  <r>
    <s v="U203"/>
    <n v="48"/>
    <x v="2"/>
    <n v="10"/>
    <n v="3"/>
    <n v="10"/>
    <n v="3"/>
    <n v="2"/>
    <x v="3"/>
    <n v="4"/>
    <x v="3"/>
    <x v="1"/>
    <x v="1"/>
    <x v="2"/>
  </r>
  <r>
    <s v="U204"/>
    <n v="39"/>
    <x v="2"/>
    <n v="4.5999999999999996"/>
    <n v="6"/>
    <n v="7"/>
    <n v="3"/>
    <n v="3"/>
    <x v="3"/>
    <n v="6"/>
    <x v="0"/>
    <x v="0"/>
    <x v="0"/>
    <x v="1"/>
  </r>
  <r>
    <s v="U205"/>
    <n v="26"/>
    <x v="0"/>
    <n v="7.3"/>
    <n v="5"/>
    <n v="8"/>
    <n v="2"/>
    <n v="2"/>
    <x v="4"/>
    <n v="7"/>
    <x v="1"/>
    <x v="1"/>
    <x v="1"/>
    <x v="1"/>
  </r>
  <r>
    <s v="U206"/>
    <n v="23"/>
    <x v="0"/>
    <n v="3.5"/>
    <n v="9"/>
    <n v="5"/>
    <n v="4"/>
    <n v="2"/>
    <x v="0"/>
    <n v="10"/>
    <x v="2"/>
    <x v="0"/>
    <x v="0"/>
    <x v="0"/>
  </r>
  <r>
    <s v="U207"/>
    <n v="35"/>
    <x v="0"/>
    <n v="6.2"/>
    <n v="4"/>
    <n v="8"/>
    <n v="1"/>
    <n v="3"/>
    <x v="5"/>
    <n v="7"/>
    <x v="1"/>
    <x v="1"/>
    <x v="1"/>
    <x v="1"/>
  </r>
  <r>
    <s v="U208"/>
    <n v="40"/>
    <x v="0"/>
    <n v="6.4"/>
    <n v="5"/>
    <n v="8"/>
    <n v="1"/>
    <n v="2"/>
    <x v="1"/>
    <n v="7"/>
    <x v="0"/>
    <x v="1"/>
    <x v="1"/>
    <x v="1"/>
  </r>
  <r>
    <s v="U209"/>
    <n v="40"/>
    <x v="1"/>
    <n v="5.5"/>
    <n v="6"/>
    <n v="7"/>
    <n v="3"/>
    <n v="0"/>
    <x v="2"/>
    <n v="9"/>
    <x v="0"/>
    <x v="0"/>
    <x v="0"/>
    <x v="0"/>
  </r>
  <r>
    <s v="U210"/>
    <n v="44"/>
    <x v="0"/>
    <n v="4.5"/>
    <n v="6"/>
    <n v="6"/>
    <n v="0"/>
    <n v="2"/>
    <x v="5"/>
    <n v="9"/>
    <x v="0"/>
    <x v="0"/>
    <x v="0"/>
    <x v="0"/>
  </r>
  <r>
    <s v="U211"/>
    <n v="33"/>
    <x v="2"/>
    <n v="5"/>
    <n v="6"/>
    <n v="6"/>
    <n v="0"/>
    <n v="0"/>
    <x v="4"/>
    <n v="8"/>
    <x v="1"/>
    <x v="0"/>
    <x v="0"/>
    <x v="0"/>
  </r>
  <r>
    <s v="U212"/>
    <n v="33"/>
    <x v="0"/>
    <n v="4.8"/>
    <n v="5"/>
    <n v="6"/>
    <n v="4"/>
    <n v="3"/>
    <x v="1"/>
    <n v="9"/>
    <x v="1"/>
    <x v="0"/>
    <x v="0"/>
    <x v="0"/>
  </r>
  <r>
    <s v="U213"/>
    <n v="17"/>
    <x v="2"/>
    <n v="9.8000000000000007"/>
    <n v="4"/>
    <n v="9"/>
    <n v="5"/>
    <n v="0"/>
    <x v="1"/>
    <n v="6"/>
    <x v="2"/>
    <x v="1"/>
    <x v="1"/>
    <x v="1"/>
  </r>
  <r>
    <s v="U214"/>
    <n v="31"/>
    <x v="2"/>
    <n v="5.5"/>
    <n v="7"/>
    <n v="7"/>
    <n v="2"/>
    <n v="4"/>
    <x v="1"/>
    <n v="9"/>
    <x v="1"/>
    <x v="0"/>
    <x v="0"/>
    <x v="0"/>
  </r>
  <r>
    <s v="U215"/>
    <n v="48"/>
    <x v="2"/>
    <n v="6.4"/>
    <n v="4"/>
    <n v="6"/>
    <n v="2"/>
    <n v="3"/>
    <x v="3"/>
    <n v="7"/>
    <x v="3"/>
    <x v="1"/>
    <x v="0"/>
    <x v="1"/>
  </r>
  <r>
    <s v="U216"/>
    <n v="19"/>
    <x v="2"/>
    <n v="8.6999999999999993"/>
    <n v="6"/>
    <n v="7"/>
    <n v="5"/>
    <n v="3"/>
    <x v="2"/>
    <n v="10"/>
    <x v="2"/>
    <x v="1"/>
    <x v="0"/>
    <x v="0"/>
  </r>
  <r>
    <s v="U217"/>
    <n v="48"/>
    <x v="0"/>
    <n v="3.9"/>
    <n v="9"/>
    <n v="5"/>
    <n v="1"/>
    <n v="0"/>
    <x v="4"/>
    <n v="10"/>
    <x v="3"/>
    <x v="0"/>
    <x v="0"/>
    <x v="0"/>
  </r>
  <r>
    <s v="U218"/>
    <n v="29"/>
    <x v="0"/>
    <n v="5.6"/>
    <n v="6"/>
    <n v="6"/>
    <n v="0"/>
    <n v="2"/>
    <x v="4"/>
    <n v="8"/>
    <x v="1"/>
    <x v="0"/>
    <x v="0"/>
    <x v="0"/>
  </r>
  <r>
    <s v="U219"/>
    <n v="36"/>
    <x v="2"/>
    <n v="5"/>
    <n v="8"/>
    <n v="6"/>
    <n v="4"/>
    <n v="4"/>
    <x v="1"/>
    <n v="10"/>
    <x v="0"/>
    <x v="0"/>
    <x v="0"/>
    <x v="0"/>
  </r>
  <r>
    <s v="U220"/>
    <n v="35"/>
    <x v="2"/>
    <n v="5.3"/>
    <n v="6"/>
    <n v="6"/>
    <n v="3"/>
    <n v="2"/>
    <x v="4"/>
    <n v="9"/>
    <x v="1"/>
    <x v="0"/>
    <x v="0"/>
    <x v="0"/>
  </r>
  <r>
    <s v="U221"/>
    <n v="23"/>
    <x v="1"/>
    <n v="5.2"/>
    <n v="7"/>
    <n v="6"/>
    <n v="5"/>
    <n v="1"/>
    <x v="2"/>
    <n v="9"/>
    <x v="2"/>
    <x v="0"/>
    <x v="0"/>
    <x v="0"/>
  </r>
  <r>
    <s v="U222"/>
    <n v="22"/>
    <x v="0"/>
    <n v="4.2"/>
    <n v="6"/>
    <n v="6"/>
    <n v="0"/>
    <n v="2"/>
    <x v="2"/>
    <n v="8"/>
    <x v="2"/>
    <x v="0"/>
    <x v="0"/>
    <x v="0"/>
  </r>
  <r>
    <s v="U223"/>
    <n v="18"/>
    <x v="2"/>
    <n v="5.9"/>
    <n v="8"/>
    <n v="6"/>
    <n v="0"/>
    <n v="2"/>
    <x v="0"/>
    <n v="8"/>
    <x v="2"/>
    <x v="0"/>
    <x v="0"/>
    <x v="0"/>
  </r>
  <r>
    <s v="U224"/>
    <n v="32"/>
    <x v="2"/>
    <n v="3.6"/>
    <n v="7"/>
    <n v="5"/>
    <n v="3"/>
    <n v="1"/>
    <x v="0"/>
    <n v="10"/>
    <x v="1"/>
    <x v="0"/>
    <x v="0"/>
    <x v="0"/>
  </r>
  <r>
    <s v="U225"/>
    <n v="48"/>
    <x v="0"/>
    <n v="7.3"/>
    <n v="5"/>
    <n v="9"/>
    <n v="4"/>
    <n v="4"/>
    <x v="5"/>
    <n v="5"/>
    <x v="3"/>
    <x v="1"/>
    <x v="1"/>
    <x v="1"/>
  </r>
  <r>
    <s v="U226"/>
    <n v="27"/>
    <x v="0"/>
    <n v="6.6"/>
    <n v="5"/>
    <n v="7"/>
    <n v="5"/>
    <n v="2"/>
    <x v="2"/>
    <n v="7"/>
    <x v="1"/>
    <x v="1"/>
    <x v="0"/>
    <x v="1"/>
  </r>
  <r>
    <s v="U227"/>
    <n v="37"/>
    <x v="2"/>
    <n v="4.5999999999999996"/>
    <n v="9"/>
    <n v="6"/>
    <n v="3"/>
    <n v="2"/>
    <x v="2"/>
    <n v="8"/>
    <x v="0"/>
    <x v="0"/>
    <x v="0"/>
    <x v="0"/>
  </r>
  <r>
    <s v="U228"/>
    <n v="37"/>
    <x v="2"/>
    <n v="4.7"/>
    <n v="9"/>
    <n v="6"/>
    <n v="3"/>
    <n v="1"/>
    <x v="2"/>
    <n v="10"/>
    <x v="0"/>
    <x v="0"/>
    <x v="0"/>
    <x v="0"/>
  </r>
  <r>
    <s v="U229"/>
    <n v="45"/>
    <x v="2"/>
    <n v="6"/>
    <n v="8"/>
    <n v="7"/>
    <n v="2"/>
    <n v="3"/>
    <x v="0"/>
    <n v="9"/>
    <x v="0"/>
    <x v="0"/>
    <x v="0"/>
    <x v="0"/>
  </r>
  <r>
    <s v="U230"/>
    <n v="23"/>
    <x v="0"/>
    <n v="4.0999999999999996"/>
    <n v="8"/>
    <n v="5"/>
    <n v="6"/>
    <n v="3"/>
    <x v="1"/>
    <n v="10"/>
    <x v="2"/>
    <x v="0"/>
    <x v="0"/>
    <x v="0"/>
  </r>
  <r>
    <s v="U231"/>
    <n v="42"/>
    <x v="2"/>
    <n v="8.8000000000000007"/>
    <n v="4"/>
    <n v="8"/>
    <n v="1"/>
    <n v="1"/>
    <x v="1"/>
    <n v="6"/>
    <x v="0"/>
    <x v="1"/>
    <x v="1"/>
    <x v="1"/>
  </r>
  <r>
    <s v="U232"/>
    <n v="42"/>
    <x v="0"/>
    <n v="6.1"/>
    <n v="7"/>
    <n v="6"/>
    <n v="4"/>
    <n v="0"/>
    <x v="4"/>
    <n v="8"/>
    <x v="0"/>
    <x v="1"/>
    <x v="0"/>
    <x v="0"/>
  </r>
  <r>
    <s v="U233"/>
    <n v="49"/>
    <x v="0"/>
    <n v="6.2"/>
    <n v="6"/>
    <n v="8"/>
    <n v="1"/>
    <n v="3"/>
    <x v="1"/>
    <n v="8"/>
    <x v="3"/>
    <x v="1"/>
    <x v="1"/>
    <x v="0"/>
  </r>
  <r>
    <s v="U234"/>
    <n v="36"/>
    <x v="0"/>
    <n v="6.7"/>
    <n v="7"/>
    <n v="7"/>
    <n v="4"/>
    <n v="2"/>
    <x v="3"/>
    <n v="8"/>
    <x v="0"/>
    <x v="1"/>
    <x v="0"/>
    <x v="0"/>
  </r>
  <r>
    <s v="U235"/>
    <n v="45"/>
    <x v="2"/>
    <n v="4.5"/>
    <n v="8"/>
    <n v="6"/>
    <n v="1"/>
    <n v="3"/>
    <x v="0"/>
    <n v="10"/>
    <x v="0"/>
    <x v="0"/>
    <x v="0"/>
    <x v="0"/>
  </r>
  <r>
    <s v="U236"/>
    <n v="48"/>
    <x v="2"/>
    <n v="7.5"/>
    <n v="4"/>
    <n v="9"/>
    <n v="4"/>
    <n v="5"/>
    <x v="2"/>
    <n v="5"/>
    <x v="3"/>
    <x v="1"/>
    <x v="1"/>
    <x v="1"/>
  </r>
  <r>
    <s v="U237"/>
    <n v="43"/>
    <x v="2"/>
    <n v="5.7"/>
    <n v="7"/>
    <n v="7"/>
    <n v="3"/>
    <n v="2"/>
    <x v="1"/>
    <n v="9"/>
    <x v="0"/>
    <x v="0"/>
    <x v="0"/>
    <x v="0"/>
  </r>
  <r>
    <s v="U238"/>
    <n v="48"/>
    <x v="0"/>
    <n v="7.2"/>
    <n v="6"/>
    <n v="8"/>
    <n v="6"/>
    <n v="2"/>
    <x v="0"/>
    <n v="9"/>
    <x v="3"/>
    <x v="1"/>
    <x v="1"/>
    <x v="0"/>
  </r>
  <r>
    <s v="U239"/>
    <n v="20"/>
    <x v="2"/>
    <n v="5.0999999999999996"/>
    <n v="4"/>
    <n v="5"/>
    <n v="2"/>
    <n v="1"/>
    <x v="1"/>
    <n v="9"/>
    <x v="2"/>
    <x v="0"/>
    <x v="0"/>
    <x v="0"/>
  </r>
  <r>
    <s v="U240"/>
    <n v="34"/>
    <x v="0"/>
    <n v="7.9"/>
    <n v="6"/>
    <n v="8"/>
    <n v="4"/>
    <n v="2"/>
    <x v="5"/>
    <n v="7"/>
    <x v="1"/>
    <x v="1"/>
    <x v="1"/>
    <x v="1"/>
  </r>
  <r>
    <s v="U241"/>
    <n v="19"/>
    <x v="2"/>
    <n v="6.2"/>
    <n v="5"/>
    <n v="7"/>
    <n v="1"/>
    <n v="3"/>
    <x v="2"/>
    <n v="8"/>
    <x v="2"/>
    <x v="1"/>
    <x v="0"/>
    <x v="0"/>
  </r>
  <r>
    <s v="U242"/>
    <n v="32"/>
    <x v="0"/>
    <n v="9.4"/>
    <n v="3"/>
    <n v="9"/>
    <n v="2"/>
    <n v="3"/>
    <x v="5"/>
    <n v="5"/>
    <x v="1"/>
    <x v="1"/>
    <x v="1"/>
    <x v="1"/>
  </r>
  <r>
    <s v="U243"/>
    <n v="43"/>
    <x v="0"/>
    <n v="4.8"/>
    <n v="6"/>
    <n v="5"/>
    <n v="3"/>
    <n v="5"/>
    <x v="2"/>
    <n v="10"/>
    <x v="0"/>
    <x v="0"/>
    <x v="0"/>
    <x v="0"/>
  </r>
  <r>
    <s v="U244"/>
    <n v="45"/>
    <x v="0"/>
    <n v="5.9"/>
    <n v="6"/>
    <n v="8"/>
    <n v="0"/>
    <n v="3"/>
    <x v="0"/>
    <n v="7"/>
    <x v="0"/>
    <x v="0"/>
    <x v="1"/>
    <x v="1"/>
  </r>
  <r>
    <s v="U245"/>
    <n v="44"/>
    <x v="0"/>
    <n v="3.6"/>
    <n v="8"/>
    <n v="5"/>
    <n v="0"/>
    <n v="2"/>
    <x v="4"/>
    <n v="10"/>
    <x v="0"/>
    <x v="0"/>
    <x v="0"/>
    <x v="0"/>
  </r>
  <r>
    <s v="U246"/>
    <n v="21"/>
    <x v="2"/>
    <n v="4.5"/>
    <n v="6"/>
    <n v="6"/>
    <n v="4"/>
    <n v="1"/>
    <x v="1"/>
    <n v="9"/>
    <x v="2"/>
    <x v="0"/>
    <x v="0"/>
    <x v="0"/>
  </r>
  <r>
    <s v="U247"/>
    <n v="39"/>
    <x v="2"/>
    <n v="6.6"/>
    <n v="6"/>
    <n v="7"/>
    <n v="3"/>
    <n v="3"/>
    <x v="1"/>
    <n v="7"/>
    <x v="0"/>
    <x v="1"/>
    <x v="0"/>
    <x v="1"/>
  </r>
  <r>
    <s v="U248"/>
    <n v="44"/>
    <x v="0"/>
    <n v="7.5"/>
    <n v="6"/>
    <n v="9"/>
    <n v="2"/>
    <n v="1"/>
    <x v="3"/>
    <n v="6"/>
    <x v="0"/>
    <x v="1"/>
    <x v="1"/>
    <x v="1"/>
  </r>
  <r>
    <s v="U249"/>
    <n v="46"/>
    <x v="2"/>
    <n v="10.8"/>
    <n v="5"/>
    <n v="10"/>
    <n v="2"/>
    <n v="3"/>
    <x v="5"/>
    <n v="4"/>
    <x v="3"/>
    <x v="1"/>
    <x v="1"/>
    <x v="2"/>
  </r>
  <r>
    <s v="U250"/>
    <n v="48"/>
    <x v="0"/>
    <n v="5.3"/>
    <n v="5"/>
    <n v="5"/>
    <n v="2"/>
    <n v="3"/>
    <x v="1"/>
    <n v="8"/>
    <x v="3"/>
    <x v="0"/>
    <x v="0"/>
    <x v="0"/>
  </r>
  <r>
    <s v="U251"/>
    <n v="36"/>
    <x v="2"/>
    <n v="3.8"/>
    <n v="7"/>
    <n v="5"/>
    <n v="3"/>
    <n v="2"/>
    <x v="0"/>
    <n v="9"/>
    <x v="0"/>
    <x v="0"/>
    <x v="0"/>
    <x v="0"/>
  </r>
  <r>
    <s v="U252"/>
    <n v="47"/>
    <x v="2"/>
    <n v="6.9"/>
    <n v="6"/>
    <n v="8"/>
    <n v="4"/>
    <n v="2"/>
    <x v="4"/>
    <n v="8"/>
    <x v="3"/>
    <x v="1"/>
    <x v="1"/>
    <x v="0"/>
  </r>
  <r>
    <s v="U253"/>
    <n v="38"/>
    <x v="2"/>
    <n v="3.5"/>
    <n v="9"/>
    <n v="4"/>
    <n v="0"/>
    <n v="0"/>
    <x v="0"/>
    <n v="10"/>
    <x v="0"/>
    <x v="0"/>
    <x v="2"/>
    <x v="0"/>
  </r>
  <r>
    <s v="U254"/>
    <n v="48"/>
    <x v="0"/>
    <n v="6.5"/>
    <n v="5"/>
    <n v="8"/>
    <n v="6"/>
    <n v="4"/>
    <x v="5"/>
    <n v="8"/>
    <x v="3"/>
    <x v="1"/>
    <x v="1"/>
    <x v="0"/>
  </r>
  <r>
    <s v="U255"/>
    <n v="18"/>
    <x v="2"/>
    <n v="4.5999999999999996"/>
    <n v="8"/>
    <n v="7"/>
    <n v="6"/>
    <n v="3"/>
    <x v="3"/>
    <n v="9"/>
    <x v="2"/>
    <x v="0"/>
    <x v="0"/>
    <x v="0"/>
  </r>
  <r>
    <s v="U256"/>
    <n v="33"/>
    <x v="2"/>
    <n v="5.9"/>
    <n v="4"/>
    <n v="7"/>
    <n v="0"/>
    <n v="3"/>
    <x v="1"/>
    <n v="5"/>
    <x v="1"/>
    <x v="0"/>
    <x v="0"/>
    <x v="1"/>
  </r>
  <r>
    <s v="U257"/>
    <n v="40"/>
    <x v="0"/>
    <n v="7.5"/>
    <n v="4"/>
    <n v="8"/>
    <n v="5"/>
    <n v="0"/>
    <x v="0"/>
    <n v="7"/>
    <x v="0"/>
    <x v="1"/>
    <x v="1"/>
    <x v="1"/>
  </r>
  <r>
    <s v="U258"/>
    <n v="46"/>
    <x v="0"/>
    <n v="5.3"/>
    <n v="7"/>
    <n v="8"/>
    <n v="5"/>
    <n v="5"/>
    <x v="2"/>
    <n v="9"/>
    <x v="3"/>
    <x v="0"/>
    <x v="1"/>
    <x v="0"/>
  </r>
  <r>
    <s v="U259"/>
    <n v="18"/>
    <x v="2"/>
    <n v="7.2"/>
    <n v="4"/>
    <n v="7"/>
    <n v="3"/>
    <n v="2"/>
    <x v="4"/>
    <n v="6"/>
    <x v="2"/>
    <x v="1"/>
    <x v="0"/>
    <x v="1"/>
  </r>
  <r>
    <s v="U260"/>
    <n v="39"/>
    <x v="2"/>
    <n v="7.1"/>
    <n v="4"/>
    <n v="8"/>
    <n v="0"/>
    <n v="2"/>
    <x v="0"/>
    <n v="7"/>
    <x v="0"/>
    <x v="1"/>
    <x v="1"/>
    <x v="1"/>
  </r>
  <r>
    <s v="U261"/>
    <n v="47"/>
    <x v="2"/>
    <n v="2.1"/>
    <n v="8"/>
    <n v="4"/>
    <n v="5"/>
    <n v="1"/>
    <x v="4"/>
    <n v="10"/>
    <x v="3"/>
    <x v="2"/>
    <x v="2"/>
    <x v="0"/>
  </r>
  <r>
    <s v="U262"/>
    <n v="37"/>
    <x v="2"/>
    <n v="3.9"/>
    <n v="8"/>
    <n v="6"/>
    <n v="3"/>
    <n v="0"/>
    <x v="1"/>
    <n v="10"/>
    <x v="0"/>
    <x v="0"/>
    <x v="0"/>
    <x v="0"/>
  </r>
  <r>
    <s v="U263"/>
    <n v="38"/>
    <x v="2"/>
    <n v="2.7"/>
    <n v="6"/>
    <n v="3"/>
    <n v="4"/>
    <n v="4"/>
    <x v="2"/>
    <n v="10"/>
    <x v="0"/>
    <x v="2"/>
    <x v="2"/>
    <x v="0"/>
  </r>
  <r>
    <s v="U264"/>
    <n v="17"/>
    <x v="0"/>
    <n v="9.1"/>
    <n v="4"/>
    <n v="9"/>
    <n v="7"/>
    <n v="4"/>
    <x v="3"/>
    <n v="4"/>
    <x v="2"/>
    <x v="1"/>
    <x v="1"/>
    <x v="2"/>
  </r>
  <r>
    <s v="U265"/>
    <n v="42"/>
    <x v="0"/>
    <n v="5.3"/>
    <n v="7"/>
    <n v="7"/>
    <n v="4"/>
    <n v="2"/>
    <x v="3"/>
    <n v="8"/>
    <x v="0"/>
    <x v="0"/>
    <x v="0"/>
    <x v="0"/>
  </r>
  <r>
    <s v="U266"/>
    <n v="17"/>
    <x v="0"/>
    <n v="8.6999999999999993"/>
    <n v="4"/>
    <n v="8"/>
    <n v="1"/>
    <n v="1"/>
    <x v="2"/>
    <n v="7"/>
    <x v="2"/>
    <x v="1"/>
    <x v="1"/>
    <x v="1"/>
  </r>
  <r>
    <s v="U267"/>
    <n v="41"/>
    <x v="2"/>
    <n v="2.6"/>
    <n v="8"/>
    <n v="4"/>
    <n v="2"/>
    <n v="2"/>
    <x v="4"/>
    <n v="10"/>
    <x v="0"/>
    <x v="2"/>
    <x v="2"/>
    <x v="0"/>
  </r>
  <r>
    <s v="U268"/>
    <n v="32"/>
    <x v="0"/>
    <n v="4.5"/>
    <n v="7"/>
    <n v="6"/>
    <n v="1"/>
    <n v="2"/>
    <x v="1"/>
    <n v="8"/>
    <x v="1"/>
    <x v="0"/>
    <x v="0"/>
    <x v="0"/>
  </r>
  <r>
    <s v="U269"/>
    <n v="48"/>
    <x v="2"/>
    <n v="6.9"/>
    <n v="5"/>
    <n v="9"/>
    <n v="4"/>
    <n v="1"/>
    <x v="0"/>
    <n v="6"/>
    <x v="3"/>
    <x v="1"/>
    <x v="1"/>
    <x v="1"/>
  </r>
  <r>
    <s v="U270"/>
    <n v="24"/>
    <x v="2"/>
    <n v="5.8"/>
    <n v="8"/>
    <n v="6"/>
    <n v="1"/>
    <n v="2"/>
    <x v="2"/>
    <n v="10"/>
    <x v="2"/>
    <x v="0"/>
    <x v="0"/>
    <x v="0"/>
  </r>
  <r>
    <s v="U271"/>
    <n v="44"/>
    <x v="2"/>
    <n v="6.5"/>
    <n v="5"/>
    <n v="6"/>
    <n v="2"/>
    <n v="3"/>
    <x v="5"/>
    <n v="8"/>
    <x v="0"/>
    <x v="1"/>
    <x v="0"/>
    <x v="0"/>
  </r>
  <r>
    <s v="U272"/>
    <n v="41"/>
    <x v="0"/>
    <n v="3.2"/>
    <n v="8"/>
    <n v="6"/>
    <n v="0"/>
    <n v="4"/>
    <x v="4"/>
    <n v="10"/>
    <x v="0"/>
    <x v="0"/>
    <x v="0"/>
    <x v="0"/>
  </r>
  <r>
    <s v="U273"/>
    <n v="40"/>
    <x v="2"/>
    <n v="8"/>
    <n v="5"/>
    <n v="8"/>
    <n v="3"/>
    <n v="3"/>
    <x v="3"/>
    <n v="6"/>
    <x v="0"/>
    <x v="1"/>
    <x v="1"/>
    <x v="1"/>
  </r>
  <r>
    <s v="U274"/>
    <n v="39"/>
    <x v="0"/>
    <n v="6.9"/>
    <n v="5"/>
    <n v="7"/>
    <n v="3"/>
    <n v="0"/>
    <x v="2"/>
    <n v="9"/>
    <x v="0"/>
    <x v="1"/>
    <x v="0"/>
    <x v="0"/>
  </r>
  <r>
    <s v="U275"/>
    <n v="28"/>
    <x v="2"/>
    <n v="6.2"/>
    <n v="3"/>
    <n v="8"/>
    <n v="0"/>
    <n v="3"/>
    <x v="3"/>
    <n v="5"/>
    <x v="1"/>
    <x v="1"/>
    <x v="1"/>
    <x v="1"/>
  </r>
  <r>
    <s v="U276"/>
    <n v="22"/>
    <x v="0"/>
    <n v="4.3"/>
    <n v="7"/>
    <n v="5"/>
    <n v="4"/>
    <n v="2"/>
    <x v="4"/>
    <n v="10"/>
    <x v="2"/>
    <x v="0"/>
    <x v="0"/>
    <x v="0"/>
  </r>
  <r>
    <s v="U277"/>
    <n v="35"/>
    <x v="0"/>
    <n v="6.1"/>
    <n v="7"/>
    <n v="8"/>
    <n v="3"/>
    <n v="5"/>
    <x v="3"/>
    <n v="9"/>
    <x v="1"/>
    <x v="1"/>
    <x v="1"/>
    <x v="0"/>
  </r>
  <r>
    <s v="U278"/>
    <n v="16"/>
    <x v="2"/>
    <n v="5"/>
    <n v="7"/>
    <n v="6"/>
    <n v="1"/>
    <n v="5"/>
    <x v="2"/>
    <n v="10"/>
    <x v="2"/>
    <x v="0"/>
    <x v="0"/>
    <x v="0"/>
  </r>
  <r>
    <s v="U279"/>
    <n v="23"/>
    <x v="0"/>
    <n v="2.5"/>
    <n v="9"/>
    <n v="5"/>
    <n v="7"/>
    <n v="5"/>
    <x v="4"/>
    <n v="10"/>
    <x v="2"/>
    <x v="2"/>
    <x v="0"/>
    <x v="0"/>
  </r>
  <r>
    <s v="U280"/>
    <n v="31"/>
    <x v="0"/>
    <n v="5.4"/>
    <n v="5"/>
    <n v="8"/>
    <n v="5"/>
    <n v="2"/>
    <x v="5"/>
    <n v="7"/>
    <x v="1"/>
    <x v="0"/>
    <x v="1"/>
    <x v="1"/>
  </r>
  <r>
    <s v="U281"/>
    <n v="29"/>
    <x v="2"/>
    <n v="5.2"/>
    <n v="7"/>
    <n v="6"/>
    <n v="1"/>
    <n v="5"/>
    <x v="2"/>
    <n v="10"/>
    <x v="1"/>
    <x v="0"/>
    <x v="0"/>
    <x v="0"/>
  </r>
  <r>
    <s v="U282"/>
    <n v="27"/>
    <x v="2"/>
    <n v="7.4"/>
    <n v="4"/>
    <n v="9"/>
    <n v="5"/>
    <n v="3"/>
    <x v="0"/>
    <n v="5"/>
    <x v="1"/>
    <x v="1"/>
    <x v="1"/>
    <x v="1"/>
  </r>
  <r>
    <s v="U283"/>
    <n v="38"/>
    <x v="2"/>
    <n v="1.5"/>
    <n v="9"/>
    <n v="4"/>
    <n v="5"/>
    <n v="5"/>
    <x v="1"/>
    <n v="10"/>
    <x v="0"/>
    <x v="2"/>
    <x v="2"/>
    <x v="0"/>
  </r>
  <r>
    <s v="U284"/>
    <n v="30"/>
    <x v="2"/>
    <n v="5.9"/>
    <n v="6"/>
    <n v="9"/>
    <n v="3"/>
    <n v="2"/>
    <x v="2"/>
    <n v="7"/>
    <x v="1"/>
    <x v="0"/>
    <x v="1"/>
    <x v="1"/>
  </r>
  <r>
    <s v="U285"/>
    <n v="43"/>
    <x v="2"/>
    <n v="3.4"/>
    <n v="7"/>
    <n v="7"/>
    <n v="4"/>
    <n v="2"/>
    <x v="4"/>
    <n v="10"/>
    <x v="0"/>
    <x v="0"/>
    <x v="0"/>
    <x v="0"/>
  </r>
  <r>
    <s v="U286"/>
    <n v="49"/>
    <x v="0"/>
    <n v="6.1"/>
    <n v="5"/>
    <n v="6"/>
    <n v="4"/>
    <n v="3"/>
    <x v="1"/>
    <n v="9"/>
    <x v="3"/>
    <x v="1"/>
    <x v="0"/>
    <x v="0"/>
  </r>
  <r>
    <s v="U287"/>
    <n v="17"/>
    <x v="0"/>
    <n v="6.2"/>
    <n v="6"/>
    <n v="8"/>
    <n v="0"/>
    <n v="3"/>
    <x v="2"/>
    <n v="7"/>
    <x v="2"/>
    <x v="1"/>
    <x v="1"/>
    <x v="1"/>
  </r>
  <r>
    <s v="U288"/>
    <n v="47"/>
    <x v="0"/>
    <n v="5.3"/>
    <n v="6"/>
    <n v="6"/>
    <n v="3"/>
    <n v="4"/>
    <x v="5"/>
    <n v="9"/>
    <x v="3"/>
    <x v="0"/>
    <x v="0"/>
    <x v="0"/>
  </r>
  <r>
    <s v="U289"/>
    <n v="38"/>
    <x v="2"/>
    <n v="7"/>
    <n v="4"/>
    <n v="8"/>
    <n v="3"/>
    <n v="2"/>
    <x v="5"/>
    <n v="6"/>
    <x v="0"/>
    <x v="1"/>
    <x v="1"/>
    <x v="1"/>
  </r>
  <r>
    <s v="U290"/>
    <n v="37"/>
    <x v="2"/>
    <n v="3.3"/>
    <n v="7"/>
    <n v="5"/>
    <n v="6"/>
    <n v="4"/>
    <x v="0"/>
    <n v="9"/>
    <x v="0"/>
    <x v="0"/>
    <x v="0"/>
    <x v="0"/>
  </r>
  <r>
    <s v="U291"/>
    <n v="40"/>
    <x v="0"/>
    <n v="7.5"/>
    <n v="5"/>
    <n v="7"/>
    <n v="4"/>
    <n v="4"/>
    <x v="3"/>
    <n v="9"/>
    <x v="0"/>
    <x v="1"/>
    <x v="0"/>
    <x v="0"/>
  </r>
  <r>
    <s v="U292"/>
    <n v="37"/>
    <x v="0"/>
    <n v="4.2"/>
    <n v="9"/>
    <n v="7"/>
    <n v="2"/>
    <n v="2"/>
    <x v="1"/>
    <n v="8"/>
    <x v="0"/>
    <x v="0"/>
    <x v="0"/>
    <x v="0"/>
  </r>
  <r>
    <s v="U293"/>
    <n v="37"/>
    <x v="1"/>
    <n v="2.7"/>
    <n v="8"/>
    <n v="5"/>
    <n v="3"/>
    <n v="3"/>
    <x v="4"/>
    <n v="10"/>
    <x v="0"/>
    <x v="2"/>
    <x v="0"/>
    <x v="0"/>
  </r>
  <r>
    <s v="U294"/>
    <n v="21"/>
    <x v="0"/>
    <n v="5"/>
    <n v="7"/>
    <n v="6"/>
    <n v="5"/>
    <n v="2"/>
    <x v="4"/>
    <n v="10"/>
    <x v="2"/>
    <x v="0"/>
    <x v="0"/>
    <x v="0"/>
  </r>
  <r>
    <s v="U295"/>
    <n v="30"/>
    <x v="2"/>
    <n v="1.7"/>
    <n v="9"/>
    <n v="4"/>
    <n v="3"/>
    <n v="6"/>
    <x v="3"/>
    <n v="10"/>
    <x v="1"/>
    <x v="2"/>
    <x v="2"/>
    <x v="0"/>
  </r>
  <r>
    <s v="U296"/>
    <n v="48"/>
    <x v="2"/>
    <n v="6"/>
    <n v="5"/>
    <n v="7"/>
    <n v="2"/>
    <n v="0"/>
    <x v="5"/>
    <n v="7"/>
    <x v="3"/>
    <x v="0"/>
    <x v="0"/>
    <x v="1"/>
  </r>
  <r>
    <s v="U297"/>
    <n v="23"/>
    <x v="2"/>
    <n v="5"/>
    <n v="5"/>
    <n v="7"/>
    <n v="2"/>
    <n v="4"/>
    <x v="5"/>
    <n v="8"/>
    <x v="2"/>
    <x v="0"/>
    <x v="0"/>
    <x v="0"/>
  </r>
  <r>
    <s v="U298"/>
    <n v="20"/>
    <x v="0"/>
    <n v="7.7"/>
    <n v="4"/>
    <n v="8"/>
    <n v="5"/>
    <n v="0"/>
    <x v="2"/>
    <n v="5"/>
    <x v="2"/>
    <x v="1"/>
    <x v="1"/>
    <x v="1"/>
  </r>
  <r>
    <s v="U299"/>
    <n v="19"/>
    <x v="2"/>
    <n v="6.7"/>
    <n v="6"/>
    <n v="5"/>
    <n v="4"/>
    <n v="2"/>
    <x v="0"/>
    <n v="9"/>
    <x v="2"/>
    <x v="1"/>
    <x v="0"/>
    <x v="0"/>
  </r>
  <r>
    <s v="U300"/>
    <n v="21"/>
    <x v="2"/>
    <n v="3"/>
    <n v="8"/>
    <n v="5"/>
    <n v="3"/>
    <n v="2"/>
    <x v="1"/>
    <n v="10"/>
    <x v="2"/>
    <x v="2"/>
    <x v="0"/>
    <x v="0"/>
  </r>
  <r>
    <s v="U301"/>
    <n v="47"/>
    <x v="2"/>
    <n v="4"/>
    <n v="8"/>
    <n v="4"/>
    <n v="3"/>
    <n v="5"/>
    <x v="0"/>
    <n v="10"/>
    <x v="3"/>
    <x v="0"/>
    <x v="2"/>
    <x v="0"/>
  </r>
  <r>
    <s v="U302"/>
    <n v="45"/>
    <x v="2"/>
    <n v="6.4"/>
    <n v="6"/>
    <n v="7"/>
    <n v="2"/>
    <n v="1"/>
    <x v="0"/>
    <n v="7"/>
    <x v="0"/>
    <x v="1"/>
    <x v="0"/>
    <x v="1"/>
  </r>
  <r>
    <s v="U303"/>
    <n v="31"/>
    <x v="2"/>
    <n v="7"/>
    <n v="5"/>
    <n v="6"/>
    <n v="3"/>
    <n v="4"/>
    <x v="2"/>
    <n v="8"/>
    <x v="1"/>
    <x v="1"/>
    <x v="0"/>
    <x v="0"/>
  </r>
  <r>
    <s v="U304"/>
    <n v="28"/>
    <x v="2"/>
    <n v="7.7"/>
    <n v="4"/>
    <n v="7"/>
    <n v="2"/>
    <n v="1"/>
    <x v="0"/>
    <n v="7"/>
    <x v="1"/>
    <x v="1"/>
    <x v="0"/>
    <x v="1"/>
  </r>
  <r>
    <s v="U305"/>
    <n v="45"/>
    <x v="0"/>
    <n v="7.7"/>
    <n v="6"/>
    <n v="9"/>
    <n v="2"/>
    <n v="5"/>
    <x v="3"/>
    <n v="6"/>
    <x v="0"/>
    <x v="1"/>
    <x v="1"/>
    <x v="1"/>
  </r>
  <r>
    <s v="U306"/>
    <n v="34"/>
    <x v="2"/>
    <n v="5.3"/>
    <n v="6"/>
    <n v="6"/>
    <n v="6"/>
    <n v="2"/>
    <x v="2"/>
    <n v="10"/>
    <x v="1"/>
    <x v="0"/>
    <x v="0"/>
    <x v="0"/>
  </r>
  <r>
    <s v="U307"/>
    <n v="32"/>
    <x v="2"/>
    <n v="6.2"/>
    <n v="5"/>
    <n v="7"/>
    <n v="1"/>
    <n v="3"/>
    <x v="3"/>
    <n v="7"/>
    <x v="1"/>
    <x v="1"/>
    <x v="0"/>
    <x v="1"/>
  </r>
  <r>
    <s v="U308"/>
    <n v="34"/>
    <x v="0"/>
    <n v="7.8"/>
    <n v="5"/>
    <n v="9"/>
    <n v="2"/>
    <n v="2"/>
    <x v="2"/>
    <n v="6"/>
    <x v="1"/>
    <x v="1"/>
    <x v="1"/>
    <x v="1"/>
  </r>
  <r>
    <s v="U309"/>
    <n v="43"/>
    <x v="2"/>
    <n v="5"/>
    <n v="5"/>
    <n v="6"/>
    <n v="0"/>
    <n v="4"/>
    <x v="0"/>
    <n v="8"/>
    <x v="0"/>
    <x v="0"/>
    <x v="0"/>
    <x v="0"/>
  </r>
  <r>
    <s v="U310"/>
    <n v="41"/>
    <x v="2"/>
    <n v="6.2"/>
    <n v="8"/>
    <n v="9"/>
    <n v="0"/>
    <n v="4"/>
    <x v="3"/>
    <n v="7"/>
    <x v="0"/>
    <x v="1"/>
    <x v="1"/>
    <x v="1"/>
  </r>
  <r>
    <s v="U311"/>
    <n v="41"/>
    <x v="2"/>
    <n v="4.9000000000000004"/>
    <n v="7"/>
    <n v="6"/>
    <n v="3"/>
    <n v="3"/>
    <x v="3"/>
    <n v="9"/>
    <x v="0"/>
    <x v="0"/>
    <x v="0"/>
    <x v="0"/>
  </r>
  <r>
    <s v="U312"/>
    <n v="38"/>
    <x v="0"/>
    <n v="4.5"/>
    <n v="7"/>
    <n v="6"/>
    <n v="2"/>
    <n v="1"/>
    <x v="3"/>
    <n v="9"/>
    <x v="0"/>
    <x v="0"/>
    <x v="0"/>
    <x v="0"/>
  </r>
  <r>
    <s v="U313"/>
    <n v="24"/>
    <x v="0"/>
    <n v="5.6"/>
    <n v="5"/>
    <n v="8"/>
    <n v="7"/>
    <n v="1"/>
    <x v="2"/>
    <n v="7"/>
    <x v="2"/>
    <x v="0"/>
    <x v="1"/>
    <x v="1"/>
  </r>
  <r>
    <s v="U314"/>
    <n v="27"/>
    <x v="1"/>
    <n v="4.3"/>
    <n v="7"/>
    <n v="7"/>
    <n v="2"/>
    <n v="1"/>
    <x v="4"/>
    <n v="8"/>
    <x v="1"/>
    <x v="0"/>
    <x v="0"/>
    <x v="0"/>
  </r>
  <r>
    <s v="U315"/>
    <n v="16"/>
    <x v="2"/>
    <n v="5.3"/>
    <n v="6"/>
    <n v="6"/>
    <n v="6"/>
    <n v="0"/>
    <x v="0"/>
    <n v="9"/>
    <x v="2"/>
    <x v="0"/>
    <x v="0"/>
    <x v="0"/>
  </r>
  <r>
    <s v="U316"/>
    <n v="16"/>
    <x v="0"/>
    <n v="3.6"/>
    <n v="7"/>
    <n v="5"/>
    <n v="5"/>
    <n v="4"/>
    <x v="3"/>
    <n v="10"/>
    <x v="2"/>
    <x v="0"/>
    <x v="0"/>
    <x v="0"/>
  </r>
  <r>
    <s v="U317"/>
    <n v="49"/>
    <x v="2"/>
    <n v="5.2"/>
    <n v="7"/>
    <n v="8"/>
    <n v="3"/>
    <n v="2"/>
    <x v="1"/>
    <n v="8"/>
    <x v="3"/>
    <x v="0"/>
    <x v="1"/>
    <x v="0"/>
  </r>
  <r>
    <s v="U318"/>
    <n v="47"/>
    <x v="2"/>
    <n v="6.3"/>
    <n v="5"/>
    <n v="8"/>
    <n v="7"/>
    <n v="2"/>
    <x v="4"/>
    <n v="8"/>
    <x v="3"/>
    <x v="1"/>
    <x v="1"/>
    <x v="0"/>
  </r>
  <r>
    <s v="U319"/>
    <n v="40"/>
    <x v="2"/>
    <n v="4.4000000000000004"/>
    <n v="8"/>
    <n v="7"/>
    <n v="4"/>
    <n v="5"/>
    <x v="1"/>
    <n v="8"/>
    <x v="0"/>
    <x v="0"/>
    <x v="0"/>
    <x v="0"/>
  </r>
  <r>
    <s v="U320"/>
    <n v="16"/>
    <x v="2"/>
    <n v="5.5"/>
    <n v="9"/>
    <n v="5"/>
    <n v="6"/>
    <n v="2"/>
    <x v="0"/>
    <n v="10"/>
    <x v="2"/>
    <x v="0"/>
    <x v="0"/>
    <x v="0"/>
  </r>
  <r>
    <s v="U321"/>
    <n v="31"/>
    <x v="0"/>
    <n v="5.8"/>
    <n v="6"/>
    <n v="8"/>
    <n v="6"/>
    <n v="1"/>
    <x v="0"/>
    <n v="7"/>
    <x v="1"/>
    <x v="0"/>
    <x v="1"/>
    <x v="1"/>
  </r>
  <r>
    <s v="U322"/>
    <n v="20"/>
    <x v="0"/>
    <n v="6.3"/>
    <n v="6"/>
    <n v="6"/>
    <n v="4"/>
    <n v="2"/>
    <x v="3"/>
    <n v="8"/>
    <x v="2"/>
    <x v="1"/>
    <x v="0"/>
    <x v="0"/>
  </r>
  <r>
    <s v="U323"/>
    <n v="37"/>
    <x v="0"/>
    <n v="5.3"/>
    <n v="7"/>
    <n v="7"/>
    <n v="5"/>
    <n v="1"/>
    <x v="3"/>
    <n v="8"/>
    <x v="0"/>
    <x v="0"/>
    <x v="0"/>
    <x v="0"/>
  </r>
  <r>
    <s v="U324"/>
    <n v="44"/>
    <x v="2"/>
    <n v="7.5"/>
    <n v="7"/>
    <n v="8"/>
    <n v="4"/>
    <n v="3"/>
    <x v="2"/>
    <n v="9"/>
    <x v="0"/>
    <x v="1"/>
    <x v="1"/>
    <x v="0"/>
  </r>
  <r>
    <s v="U325"/>
    <n v="18"/>
    <x v="0"/>
    <n v="1.7"/>
    <n v="9"/>
    <n v="3"/>
    <n v="1"/>
    <n v="2"/>
    <x v="4"/>
    <n v="10"/>
    <x v="2"/>
    <x v="2"/>
    <x v="2"/>
    <x v="0"/>
  </r>
  <r>
    <s v="U326"/>
    <n v="27"/>
    <x v="0"/>
    <n v="10.8"/>
    <n v="2"/>
    <n v="9"/>
    <n v="3"/>
    <n v="2"/>
    <x v="4"/>
    <n v="5"/>
    <x v="1"/>
    <x v="1"/>
    <x v="1"/>
    <x v="1"/>
  </r>
  <r>
    <s v="U327"/>
    <n v="41"/>
    <x v="0"/>
    <n v="3.9"/>
    <n v="6"/>
    <n v="4"/>
    <n v="5"/>
    <n v="2"/>
    <x v="3"/>
    <n v="9"/>
    <x v="0"/>
    <x v="0"/>
    <x v="2"/>
    <x v="0"/>
  </r>
  <r>
    <s v="U328"/>
    <n v="31"/>
    <x v="2"/>
    <n v="6.2"/>
    <n v="6"/>
    <n v="7"/>
    <n v="6"/>
    <n v="2"/>
    <x v="0"/>
    <n v="8"/>
    <x v="1"/>
    <x v="1"/>
    <x v="0"/>
    <x v="0"/>
  </r>
  <r>
    <s v="U329"/>
    <n v="37"/>
    <x v="2"/>
    <n v="3.8"/>
    <n v="7"/>
    <n v="4"/>
    <n v="2"/>
    <n v="3"/>
    <x v="3"/>
    <n v="10"/>
    <x v="0"/>
    <x v="0"/>
    <x v="2"/>
    <x v="0"/>
  </r>
  <r>
    <s v="U330"/>
    <n v="44"/>
    <x v="0"/>
    <n v="6.7"/>
    <n v="8"/>
    <n v="6"/>
    <n v="4"/>
    <n v="2"/>
    <x v="0"/>
    <n v="10"/>
    <x v="0"/>
    <x v="1"/>
    <x v="0"/>
    <x v="0"/>
  </r>
  <r>
    <s v="U331"/>
    <n v="29"/>
    <x v="0"/>
    <n v="6"/>
    <n v="8"/>
    <n v="7"/>
    <n v="3"/>
    <n v="2"/>
    <x v="0"/>
    <n v="7"/>
    <x v="1"/>
    <x v="0"/>
    <x v="0"/>
    <x v="1"/>
  </r>
  <r>
    <s v="U332"/>
    <n v="43"/>
    <x v="2"/>
    <n v="4.3"/>
    <n v="6"/>
    <n v="3"/>
    <n v="3"/>
    <n v="2"/>
    <x v="3"/>
    <n v="10"/>
    <x v="0"/>
    <x v="0"/>
    <x v="2"/>
    <x v="0"/>
  </r>
  <r>
    <s v="U333"/>
    <n v="20"/>
    <x v="0"/>
    <n v="7.4"/>
    <n v="4"/>
    <n v="9"/>
    <n v="4"/>
    <n v="2"/>
    <x v="5"/>
    <n v="6"/>
    <x v="2"/>
    <x v="1"/>
    <x v="1"/>
    <x v="1"/>
  </r>
  <r>
    <s v="U334"/>
    <n v="45"/>
    <x v="0"/>
    <n v="5.2"/>
    <n v="7"/>
    <n v="4"/>
    <n v="3"/>
    <n v="3"/>
    <x v="4"/>
    <n v="10"/>
    <x v="0"/>
    <x v="0"/>
    <x v="2"/>
    <x v="0"/>
  </r>
  <r>
    <s v="U335"/>
    <n v="20"/>
    <x v="0"/>
    <n v="6.5"/>
    <n v="7"/>
    <n v="7"/>
    <n v="4"/>
    <n v="1"/>
    <x v="1"/>
    <n v="7"/>
    <x v="2"/>
    <x v="1"/>
    <x v="0"/>
    <x v="1"/>
  </r>
  <r>
    <s v="U336"/>
    <n v="27"/>
    <x v="0"/>
    <n v="3.8"/>
    <n v="8"/>
    <n v="6"/>
    <n v="6"/>
    <n v="4"/>
    <x v="0"/>
    <n v="10"/>
    <x v="1"/>
    <x v="0"/>
    <x v="0"/>
    <x v="0"/>
  </r>
  <r>
    <s v="U337"/>
    <n v="31"/>
    <x v="0"/>
    <n v="5.4"/>
    <n v="6"/>
    <n v="7"/>
    <n v="5"/>
    <n v="3"/>
    <x v="0"/>
    <n v="8"/>
    <x v="1"/>
    <x v="0"/>
    <x v="0"/>
    <x v="0"/>
  </r>
  <r>
    <s v="U338"/>
    <n v="41"/>
    <x v="2"/>
    <n v="9.1"/>
    <n v="4"/>
    <n v="9"/>
    <n v="4"/>
    <n v="2"/>
    <x v="5"/>
    <n v="7"/>
    <x v="0"/>
    <x v="1"/>
    <x v="1"/>
    <x v="1"/>
  </r>
  <r>
    <s v="U339"/>
    <n v="41"/>
    <x v="0"/>
    <n v="7.2"/>
    <n v="5"/>
    <n v="10"/>
    <n v="7"/>
    <n v="3"/>
    <x v="1"/>
    <n v="7"/>
    <x v="0"/>
    <x v="1"/>
    <x v="1"/>
    <x v="1"/>
  </r>
  <r>
    <s v="U340"/>
    <n v="36"/>
    <x v="2"/>
    <n v="6.1"/>
    <n v="7"/>
    <n v="7"/>
    <n v="5"/>
    <n v="2"/>
    <x v="2"/>
    <n v="9"/>
    <x v="0"/>
    <x v="1"/>
    <x v="0"/>
    <x v="0"/>
  </r>
  <r>
    <s v="U341"/>
    <n v="48"/>
    <x v="0"/>
    <n v="4.7"/>
    <n v="6"/>
    <n v="7"/>
    <n v="3"/>
    <n v="0"/>
    <x v="5"/>
    <n v="8"/>
    <x v="3"/>
    <x v="0"/>
    <x v="0"/>
    <x v="0"/>
  </r>
  <r>
    <s v="U342"/>
    <n v="45"/>
    <x v="2"/>
    <n v="5.6"/>
    <n v="6"/>
    <n v="6"/>
    <n v="1"/>
    <n v="3"/>
    <x v="1"/>
    <n v="7"/>
    <x v="0"/>
    <x v="0"/>
    <x v="0"/>
    <x v="1"/>
  </r>
  <r>
    <s v="U343"/>
    <n v="38"/>
    <x v="2"/>
    <n v="5.9"/>
    <n v="7"/>
    <n v="7"/>
    <n v="1"/>
    <n v="1"/>
    <x v="5"/>
    <n v="8"/>
    <x v="0"/>
    <x v="0"/>
    <x v="0"/>
    <x v="0"/>
  </r>
  <r>
    <s v="U344"/>
    <n v="25"/>
    <x v="0"/>
    <n v="6.3"/>
    <n v="5"/>
    <n v="9"/>
    <n v="5"/>
    <n v="4"/>
    <x v="0"/>
    <n v="8"/>
    <x v="2"/>
    <x v="1"/>
    <x v="1"/>
    <x v="0"/>
  </r>
  <r>
    <s v="U345"/>
    <n v="20"/>
    <x v="2"/>
    <n v="3.6"/>
    <n v="6"/>
    <n v="5"/>
    <n v="2"/>
    <n v="2"/>
    <x v="4"/>
    <n v="10"/>
    <x v="2"/>
    <x v="0"/>
    <x v="0"/>
    <x v="0"/>
  </r>
  <r>
    <s v="U346"/>
    <n v="49"/>
    <x v="0"/>
    <n v="6.7"/>
    <n v="6"/>
    <n v="8"/>
    <n v="1"/>
    <n v="4"/>
    <x v="5"/>
    <n v="8"/>
    <x v="3"/>
    <x v="1"/>
    <x v="1"/>
    <x v="0"/>
  </r>
  <r>
    <s v="U347"/>
    <n v="46"/>
    <x v="1"/>
    <n v="3.5"/>
    <n v="7"/>
    <n v="6"/>
    <n v="1"/>
    <n v="2"/>
    <x v="2"/>
    <n v="10"/>
    <x v="3"/>
    <x v="0"/>
    <x v="0"/>
    <x v="0"/>
  </r>
  <r>
    <s v="U348"/>
    <n v="25"/>
    <x v="0"/>
    <n v="8.4"/>
    <n v="5"/>
    <n v="8"/>
    <n v="2"/>
    <n v="3"/>
    <x v="3"/>
    <n v="8"/>
    <x v="2"/>
    <x v="1"/>
    <x v="1"/>
    <x v="0"/>
  </r>
  <r>
    <s v="U349"/>
    <n v="34"/>
    <x v="0"/>
    <n v="4.0999999999999996"/>
    <n v="8"/>
    <n v="4"/>
    <n v="5"/>
    <n v="4"/>
    <x v="1"/>
    <n v="10"/>
    <x v="1"/>
    <x v="0"/>
    <x v="2"/>
    <x v="0"/>
  </r>
  <r>
    <s v="U350"/>
    <n v="47"/>
    <x v="0"/>
    <n v="6"/>
    <n v="6"/>
    <n v="7"/>
    <n v="3"/>
    <n v="2"/>
    <x v="5"/>
    <n v="8"/>
    <x v="3"/>
    <x v="0"/>
    <x v="0"/>
    <x v="0"/>
  </r>
  <r>
    <s v="U351"/>
    <n v="16"/>
    <x v="1"/>
    <n v="7.3"/>
    <n v="5"/>
    <n v="9"/>
    <n v="0"/>
    <n v="2"/>
    <x v="5"/>
    <n v="8"/>
    <x v="2"/>
    <x v="1"/>
    <x v="1"/>
    <x v="0"/>
  </r>
  <r>
    <s v="U352"/>
    <n v="20"/>
    <x v="2"/>
    <n v="5"/>
    <n v="6"/>
    <n v="5"/>
    <n v="3"/>
    <n v="3"/>
    <x v="2"/>
    <n v="9"/>
    <x v="2"/>
    <x v="0"/>
    <x v="0"/>
    <x v="0"/>
  </r>
  <r>
    <s v="U353"/>
    <n v="19"/>
    <x v="2"/>
    <n v="6.1"/>
    <n v="6"/>
    <n v="8"/>
    <n v="3"/>
    <n v="3"/>
    <x v="4"/>
    <n v="9"/>
    <x v="2"/>
    <x v="1"/>
    <x v="1"/>
    <x v="0"/>
  </r>
  <r>
    <s v="U354"/>
    <n v="31"/>
    <x v="0"/>
    <n v="8.1"/>
    <n v="5"/>
    <n v="9"/>
    <n v="2"/>
    <n v="2"/>
    <x v="5"/>
    <n v="6"/>
    <x v="1"/>
    <x v="1"/>
    <x v="1"/>
    <x v="1"/>
  </r>
  <r>
    <s v="U355"/>
    <n v="39"/>
    <x v="2"/>
    <n v="6.5"/>
    <n v="5"/>
    <n v="5"/>
    <n v="5"/>
    <n v="0"/>
    <x v="5"/>
    <n v="10"/>
    <x v="0"/>
    <x v="1"/>
    <x v="0"/>
    <x v="0"/>
  </r>
  <r>
    <s v="U356"/>
    <n v="31"/>
    <x v="0"/>
    <n v="6.1"/>
    <n v="6"/>
    <n v="6"/>
    <n v="2"/>
    <n v="2"/>
    <x v="4"/>
    <n v="8"/>
    <x v="1"/>
    <x v="1"/>
    <x v="0"/>
    <x v="0"/>
  </r>
  <r>
    <s v="U357"/>
    <n v="17"/>
    <x v="2"/>
    <n v="2.5"/>
    <n v="9"/>
    <n v="4"/>
    <n v="5"/>
    <n v="4"/>
    <x v="2"/>
    <n v="10"/>
    <x v="2"/>
    <x v="2"/>
    <x v="2"/>
    <x v="0"/>
  </r>
  <r>
    <s v="U358"/>
    <n v="43"/>
    <x v="0"/>
    <n v="3.8"/>
    <n v="8"/>
    <n v="5"/>
    <n v="4"/>
    <n v="1"/>
    <x v="1"/>
    <n v="10"/>
    <x v="0"/>
    <x v="0"/>
    <x v="0"/>
    <x v="0"/>
  </r>
  <r>
    <s v="U359"/>
    <n v="47"/>
    <x v="0"/>
    <n v="7.4"/>
    <n v="6"/>
    <n v="7"/>
    <n v="5"/>
    <n v="2"/>
    <x v="1"/>
    <n v="7"/>
    <x v="3"/>
    <x v="1"/>
    <x v="0"/>
    <x v="1"/>
  </r>
  <r>
    <s v="U360"/>
    <n v="42"/>
    <x v="0"/>
    <n v="6.5"/>
    <n v="5"/>
    <n v="7"/>
    <n v="1"/>
    <n v="2"/>
    <x v="5"/>
    <n v="8"/>
    <x v="0"/>
    <x v="1"/>
    <x v="0"/>
    <x v="0"/>
  </r>
  <r>
    <s v="U361"/>
    <n v="35"/>
    <x v="2"/>
    <n v="6.8"/>
    <n v="4"/>
    <n v="9"/>
    <n v="3"/>
    <n v="0"/>
    <x v="4"/>
    <n v="7"/>
    <x v="1"/>
    <x v="1"/>
    <x v="1"/>
    <x v="1"/>
  </r>
  <r>
    <s v="U362"/>
    <n v="39"/>
    <x v="2"/>
    <n v="6.6"/>
    <n v="6"/>
    <n v="7"/>
    <n v="3"/>
    <n v="1"/>
    <x v="5"/>
    <n v="7"/>
    <x v="0"/>
    <x v="1"/>
    <x v="0"/>
    <x v="1"/>
  </r>
  <r>
    <s v="U363"/>
    <n v="27"/>
    <x v="0"/>
    <n v="7.8"/>
    <n v="5"/>
    <n v="8"/>
    <n v="0"/>
    <n v="4"/>
    <x v="3"/>
    <n v="6"/>
    <x v="1"/>
    <x v="1"/>
    <x v="1"/>
    <x v="1"/>
  </r>
  <r>
    <s v="U364"/>
    <n v="48"/>
    <x v="2"/>
    <n v="5"/>
    <n v="8"/>
    <n v="6"/>
    <n v="5"/>
    <n v="0"/>
    <x v="1"/>
    <n v="10"/>
    <x v="3"/>
    <x v="0"/>
    <x v="0"/>
    <x v="0"/>
  </r>
  <r>
    <s v="U365"/>
    <n v="48"/>
    <x v="0"/>
    <n v="5.7"/>
    <n v="7"/>
    <n v="7"/>
    <n v="1"/>
    <n v="3"/>
    <x v="0"/>
    <n v="9"/>
    <x v="3"/>
    <x v="0"/>
    <x v="0"/>
    <x v="0"/>
  </r>
  <r>
    <s v="U366"/>
    <n v="27"/>
    <x v="2"/>
    <n v="3.6"/>
    <n v="8"/>
    <n v="5"/>
    <n v="2"/>
    <n v="1"/>
    <x v="3"/>
    <n v="10"/>
    <x v="1"/>
    <x v="0"/>
    <x v="0"/>
    <x v="0"/>
  </r>
  <r>
    <s v="U367"/>
    <n v="18"/>
    <x v="0"/>
    <n v="3.2"/>
    <n v="9"/>
    <n v="5"/>
    <n v="1"/>
    <n v="3"/>
    <x v="5"/>
    <n v="10"/>
    <x v="2"/>
    <x v="0"/>
    <x v="0"/>
    <x v="0"/>
  </r>
  <r>
    <s v="U368"/>
    <n v="16"/>
    <x v="0"/>
    <n v="2.5"/>
    <n v="8"/>
    <n v="4"/>
    <n v="4"/>
    <n v="4"/>
    <x v="2"/>
    <n v="10"/>
    <x v="2"/>
    <x v="2"/>
    <x v="2"/>
    <x v="0"/>
  </r>
  <r>
    <s v="U369"/>
    <n v="48"/>
    <x v="2"/>
    <n v="3.9"/>
    <n v="6"/>
    <n v="5"/>
    <n v="0"/>
    <n v="2"/>
    <x v="1"/>
    <n v="10"/>
    <x v="3"/>
    <x v="0"/>
    <x v="0"/>
    <x v="0"/>
  </r>
  <r>
    <s v="U370"/>
    <n v="25"/>
    <x v="0"/>
    <n v="8.3000000000000007"/>
    <n v="5"/>
    <n v="8"/>
    <n v="4"/>
    <n v="2"/>
    <x v="0"/>
    <n v="7"/>
    <x v="2"/>
    <x v="1"/>
    <x v="1"/>
    <x v="1"/>
  </r>
  <r>
    <s v="U371"/>
    <n v="44"/>
    <x v="0"/>
    <n v="2.7"/>
    <n v="9"/>
    <n v="5"/>
    <n v="5"/>
    <n v="1"/>
    <x v="3"/>
    <n v="10"/>
    <x v="0"/>
    <x v="2"/>
    <x v="0"/>
    <x v="0"/>
  </r>
  <r>
    <s v="U372"/>
    <n v="28"/>
    <x v="2"/>
    <n v="5"/>
    <n v="7"/>
    <n v="5"/>
    <n v="4"/>
    <n v="0"/>
    <x v="1"/>
    <n v="9"/>
    <x v="1"/>
    <x v="0"/>
    <x v="0"/>
    <x v="0"/>
  </r>
  <r>
    <s v="U373"/>
    <n v="27"/>
    <x v="1"/>
    <n v="3.2"/>
    <n v="9"/>
    <n v="6"/>
    <n v="4"/>
    <n v="5"/>
    <x v="4"/>
    <n v="10"/>
    <x v="1"/>
    <x v="0"/>
    <x v="0"/>
    <x v="0"/>
  </r>
  <r>
    <s v="U374"/>
    <n v="46"/>
    <x v="0"/>
    <n v="4.4000000000000004"/>
    <n v="7"/>
    <n v="7"/>
    <n v="5"/>
    <n v="1"/>
    <x v="2"/>
    <n v="8"/>
    <x v="3"/>
    <x v="0"/>
    <x v="0"/>
    <x v="0"/>
  </r>
  <r>
    <s v="U375"/>
    <n v="17"/>
    <x v="0"/>
    <n v="5.8"/>
    <n v="6"/>
    <n v="7"/>
    <n v="1"/>
    <n v="5"/>
    <x v="3"/>
    <n v="9"/>
    <x v="2"/>
    <x v="0"/>
    <x v="0"/>
    <x v="0"/>
  </r>
  <r>
    <s v="U376"/>
    <n v="38"/>
    <x v="2"/>
    <n v="4.2"/>
    <n v="8"/>
    <n v="5"/>
    <n v="6"/>
    <n v="1"/>
    <x v="4"/>
    <n v="10"/>
    <x v="0"/>
    <x v="0"/>
    <x v="0"/>
    <x v="0"/>
  </r>
  <r>
    <s v="U377"/>
    <n v="32"/>
    <x v="0"/>
    <n v="7.5"/>
    <n v="4"/>
    <n v="7"/>
    <n v="2"/>
    <n v="3"/>
    <x v="5"/>
    <n v="6"/>
    <x v="1"/>
    <x v="1"/>
    <x v="0"/>
    <x v="1"/>
  </r>
  <r>
    <s v="U378"/>
    <n v="41"/>
    <x v="0"/>
    <n v="8.3000000000000007"/>
    <n v="4"/>
    <n v="10"/>
    <n v="3"/>
    <n v="1"/>
    <x v="4"/>
    <n v="6"/>
    <x v="0"/>
    <x v="1"/>
    <x v="1"/>
    <x v="1"/>
  </r>
  <r>
    <s v="U379"/>
    <n v="23"/>
    <x v="0"/>
    <n v="1.5"/>
    <n v="9"/>
    <n v="3"/>
    <n v="2"/>
    <n v="3"/>
    <x v="3"/>
    <n v="10"/>
    <x v="2"/>
    <x v="2"/>
    <x v="2"/>
    <x v="0"/>
  </r>
  <r>
    <s v="U380"/>
    <n v="44"/>
    <x v="2"/>
    <n v="4.3"/>
    <n v="8"/>
    <n v="7"/>
    <n v="4"/>
    <n v="2"/>
    <x v="3"/>
    <n v="10"/>
    <x v="0"/>
    <x v="0"/>
    <x v="0"/>
    <x v="0"/>
  </r>
  <r>
    <s v="U381"/>
    <n v="41"/>
    <x v="2"/>
    <n v="5.6"/>
    <n v="6"/>
    <n v="7"/>
    <n v="2"/>
    <n v="2"/>
    <x v="5"/>
    <n v="9"/>
    <x v="0"/>
    <x v="0"/>
    <x v="0"/>
    <x v="0"/>
  </r>
  <r>
    <s v="U382"/>
    <n v="25"/>
    <x v="0"/>
    <n v="7.5"/>
    <n v="4"/>
    <n v="8"/>
    <n v="3"/>
    <n v="3"/>
    <x v="4"/>
    <n v="7"/>
    <x v="2"/>
    <x v="1"/>
    <x v="1"/>
    <x v="1"/>
  </r>
  <r>
    <s v="U383"/>
    <n v="41"/>
    <x v="0"/>
    <n v="4.7"/>
    <n v="6"/>
    <n v="6"/>
    <n v="1"/>
    <n v="2"/>
    <x v="4"/>
    <n v="9"/>
    <x v="0"/>
    <x v="0"/>
    <x v="0"/>
    <x v="0"/>
  </r>
  <r>
    <s v="U384"/>
    <n v="49"/>
    <x v="0"/>
    <n v="5.5"/>
    <n v="7"/>
    <n v="5"/>
    <n v="5"/>
    <n v="0"/>
    <x v="5"/>
    <n v="10"/>
    <x v="3"/>
    <x v="0"/>
    <x v="0"/>
    <x v="0"/>
  </r>
  <r>
    <s v="U385"/>
    <n v="22"/>
    <x v="2"/>
    <n v="3.4"/>
    <n v="8"/>
    <n v="6"/>
    <n v="4"/>
    <n v="4"/>
    <x v="4"/>
    <n v="10"/>
    <x v="2"/>
    <x v="0"/>
    <x v="0"/>
    <x v="0"/>
  </r>
  <r>
    <s v="U386"/>
    <n v="19"/>
    <x v="0"/>
    <n v="2.7"/>
    <n v="8"/>
    <n v="5"/>
    <n v="2"/>
    <n v="1"/>
    <x v="1"/>
    <n v="9"/>
    <x v="2"/>
    <x v="2"/>
    <x v="0"/>
    <x v="0"/>
  </r>
  <r>
    <s v="U387"/>
    <n v="26"/>
    <x v="0"/>
    <n v="8.1"/>
    <n v="5"/>
    <n v="7"/>
    <n v="2"/>
    <n v="3"/>
    <x v="5"/>
    <n v="7"/>
    <x v="1"/>
    <x v="1"/>
    <x v="0"/>
    <x v="1"/>
  </r>
  <r>
    <s v="U388"/>
    <n v="44"/>
    <x v="2"/>
    <n v="2.2000000000000002"/>
    <n v="9"/>
    <n v="4"/>
    <n v="4"/>
    <n v="4"/>
    <x v="2"/>
    <n v="10"/>
    <x v="0"/>
    <x v="2"/>
    <x v="2"/>
    <x v="0"/>
  </r>
  <r>
    <s v="U389"/>
    <n v="40"/>
    <x v="0"/>
    <n v="9.6999999999999993"/>
    <n v="4"/>
    <n v="10"/>
    <n v="2"/>
    <n v="2"/>
    <x v="3"/>
    <n v="6"/>
    <x v="0"/>
    <x v="1"/>
    <x v="1"/>
    <x v="1"/>
  </r>
  <r>
    <s v="U390"/>
    <n v="36"/>
    <x v="2"/>
    <n v="6.8"/>
    <n v="5"/>
    <n v="8"/>
    <n v="3"/>
    <n v="4"/>
    <x v="2"/>
    <n v="8"/>
    <x v="0"/>
    <x v="1"/>
    <x v="1"/>
    <x v="0"/>
  </r>
  <r>
    <s v="U391"/>
    <n v="25"/>
    <x v="0"/>
    <n v="6.7"/>
    <n v="7"/>
    <n v="7"/>
    <n v="5"/>
    <n v="3"/>
    <x v="1"/>
    <n v="8"/>
    <x v="2"/>
    <x v="1"/>
    <x v="0"/>
    <x v="0"/>
  </r>
  <r>
    <s v="U392"/>
    <n v="24"/>
    <x v="0"/>
    <n v="6.5"/>
    <n v="7"/>
    <n v="6"/>
    <n v="1"/>
    <n v="1"/>
    <x v="1"/>
    <n v="7"/>
    <x v="2"/>
    <x v="1"/>
    <x v="0"/>
    <x v="1"/>
  </r>
  <r>
    <s v="U393"/>
    <n v="39"/>
    <x v="0"/>
    <n v="5"/>
    <n v="5"/>
    <n v="6"/>
    <n v="4"/>
    <n v="5"/>
    <x v="0"/>
    <n v="8"/>
    <x v="0"/>
    <x v="0"/>
    <x v="0"/>
    <x v="0"/>
  </r>
  <r>
    <s v="U394"/>
    <n v="33"/>
    <x v="2"/>
    <n v="6.2"/>
    <n v="6"/>
    <n v="7"/>
    <n v="4"/>
    <n v="1"/>
    <x v="0"/>
    <n v="9"/>
    <x v="1"/>
    <x v="1"/>
    <x v="0"/>
    <x v="0"/>
  </r>
  <r>
    <s v="U395"/>
    <n v="47"/>
    <x v="2"/>
    <n v="5.2"/>
    <n v="7"/>
    <n v="7"/>
    <n v="3"/>
    <n v="2"/>
    <x v="0"/>
    <n v="9"/>
    <x v="3"/>
    <x v="0"/>
    <x v="0"/>
    <x v="0"/>
  </r>
  <r>
    <s v="U396"/>
    <n v="39"/>
    <x v="2"/>
    <n v="6.5"/>
    <n v="5"/>
    <n v="7"/>
    <n v="2"/>
    <n v="2"/>
    <x v="5"/>
    <n v="8"/>
    <x v="0"/>
    <x v="1"/>
    <x v="0"/>
    <x v="0"/>
  </r>
  <r>
    <s v="U397"/>
    <n v="38"/>
    <x v="0"/>
    <n v="5.4"/>
    <n v="8"/>
    <n v="9"/>
    <n v="5"/>
    <n v="3"/>
    <x v="4"/>
    <n v="8"/>
    <x v="0"/>
    <x v="0"/>
    <x v="1"/>
    <x v="0"/>
  </r>
  <r>
    <s v="U398"/>
    <n v="47"/>
    <x v="2"/>
    <n v="3.8"/>
    <n v="8"/>
    <n v="4"/>
    <n v="2"/>
    <n v="4"/>
    <x v="1"/>
    <n v="10"/>
    <x v="3"/>
    <x v="0"/>
    <x v="2"/>
    <x v="0"/>
  </r>
  <r>
    <s v="U399"/>
    <n v="27"/>
    <x v="0"/>
    <n v="3.9"/>
    <n v="7"/>
    <n v="5"/>
    <n v="0"/>
    <n v="4"/>
    <x v="2"/>
    <n v="10"/>
    <x v="1"/>
    <x v="0"/>
    <x v="0"/>
    <x v="0"/>
  </r>
  <r>
    <s v="U400"/>
    <n v="28"/>
    <x v="0"/>
    <n v="3.7"/>
    <n v="8"/>
    <n v="5"/>
    <n v="4"/>
    <n v="3"/>
    <x v="2"/>
    <n v="10"/>
    <x v="1"/>
    <x v="0"/>
    <x v="0"/>
    <x v="0"/>
  </r>
  <r>
    <s v="U401"/>
    <n v="38"/>
    <x v="2"/>
    <n v="7.2"/>
    <n v="5"/>
    <n v="8"/>
    <n v="1"/>
    <n v="2"/>
    <x v="2"/>
    <n v="9"/>
    <x v="0"/>
    <x v="1"/>
    <x v="1"/>
    <x v="0"/>
  </r>
  <r>
    <s v="U402"/>
    <n v="40"/>
    <x v="0"/>
    <n v="4.4000000000000004"/>
    <n v="7"/>
    <n v="5"/>
    <n v="4"/>
    <n v="0"/>
    <x v="2"/>
    <n v="10"/>
    <x v="0"/>
    <x v="0"/>
    <x v="0"/>
    <x v="0"/>
  </r>
  <r>
    <s v="U403"/>
    <n v="45"/>
    <x v="0"/>
    <n v="2.1"/>
    <n v="10"/>
    <n v="5"/>
    <n v="6"/>
    <n v="1"/>
    <x v="0"/>
    <n v="10"/>
    <x v="0"/>
    <x v="2"/>
    <x v="0"/>
    <x v="0"/>
  </r>
  <r>
    <s v="U404"/>
    <n v="32"/>
    <x v="0"/>
    <n v="6.2"/>
    <n v="6"/>
    <n v="8"/>
    <n v="4"/>
    <n v="5"/>
    <x v="2"/>
    <n v="7"/>
    <x v="1"/>
    <x v="1"/>
    <x v="1"/>
    <x v="1"/>
  </r>
  <r>
    <s v="U405"/>
    <n v="35"/>
    <x v="0"/>
    <n v="8.1999999999999993"/>
    <n v="4"/>
    <n v="9"/>
    <n v="5"/>
    <n v="0"/>
    <x v="4"/>
    <n v="6"/>
    <x v="1"/>
    <x v="1"/>
    <x v="1"/>
    <x v="1"/>
  </r>
  <r>
    <s v="U406"/>
    <n v="40"/>
    <x v="0"/>
    <n v="6.9"/>
    <n v="3"/>
    <n v="8"/>
    <n v="7"/>
    <n v="1"/>
    <x v="0"/>
    <n v="6"/>
    <x v="0"/>
    <x v="1"/>
    <x v="1"/>
    <x v="1"/>
  </r>
  <r>
    <s v="U407"/>
    <n v="37"/>
    <x v="2"/>
    <n v="4.4000000000000004"/>
    <n v="7"/>
    <n v="6"/>
    <n v="5"/>
    <n v="4"/>
    <x v="2"/>
    <n v="10"/>
    <x v="0"/>
    <x v="0"/>
    <x v="0"/>
    <x v="0"/>
  </r>
  <r>
    <s v="U408"/>
    <n v="28"/>
    <x v="0"/>
    <n v="2.6"/>
    <n v="10"/>
    <n v="3"/>
    <n v="4"/>
    <n v="3"/>
    <x v="5"/>
    <n v="10"/>
    <x v="1"/>
    <x v="2"/>
    <x v="2"/>
    <x v="0"/>
  </r>
  <r>
    <s v="U409"/>
    <n v="34"/>
    <x v="2"/>
    <n v="5.3"/>
    <n v="6"/>
    <n v="6"/>
    <n v="6"/>
    <n v="4"/>
    <x v="3"/>
    <n v="8"/>
    <x v="1"/>
    <x v="0"/>
    <x v="0"/>
    <x v="0"/>
  </r>
  <r>
    <s v="U410"/>
    <n v="27"/>
    <x v="2"/>
    <n v="5.2"/>
    <n v="4"/>
    <n v="7"/>
    <n v="7"/>
    <n v="3"/>
    <x v="3"/>
    <n v="9"/>
    <x v="1"/>
    <x v="0"/>
    <x v="0"/>
    <x v="0"/>
  </r>
  <r>
    <s v="U411"/>
    <n v="34"/>
    <x v="0"/>
    <n v="3.8"/>
    <n v="7"/>
    <n v="6"/>
    <n v="7"/>
    <n v="5"/>
    <x v="3"/>
    <n v="10"/>
    <x v="1"/>
    <x v="0"/>
    <x v="0"/>
    <x v="0"/>
  </r>
  <r>
    <s v="U412"/>
    <n v="27"/>
    <x v="0"/>
    <n v="6.5"/>
    <n v="7"/>
    <n v="7"/>
    <n v="2"/>
    <n v="3"/>
    <x v="0"/>
    <n v="10"/>
    <x v="1"/>
    <x v="1"/>
    <x v="0"/>
    <x v="0"/>
  </r>
  <r>
    <s v="U413"/>
    <n v="24"/>
    <x v="0"/>
    <n v="8.8000000000000007"/>
    <n v="5"/>
    <n v="9"/>
    <n v="0"/>
    <n v="3"/>
    <x v="2"/>
    <n v="6"/>
    <x v="2"/>
    <x v="1"/>
    <x v="1"/>
    <x v="1"/>
  </r>
  <r>
    <s v="U414"/>
    <n v="22"/>
    <x v="2"/>
    <n v="5.9"/>
    <n v="5"/>
    <n v="6"/>
    <n v="2"/>
    <n v="1"/>
    <x v="1"/>
    <n v="9"/>
    <x v="2"/>
    <x v="0"/>
    <x v="0"/>
    <x v="0"/>
  </r>
  <r>
    <s v="U415"/>
    <n v="43"/>
    <x v="0"/>
    <n v="5.8"/>
    <n v="6"/>
    <n v="7"/>
    <n v="4"/>
    <n v="3"/>
    <x v="1"/>
    <n v="9"/>
    <x v="0"/>
    <x v="0"/>
    <x v="0"/>
    <x v="0"/>
  </r>
  <r>
    <s v="U416"/>
    <n v="29"/>
    <x v="2"/>
    <n v="3.8"/>
    <n v="7"/>
    <n v="6"/>
    <n v="3"/>
    <n v="2"/>
    <x v="1"/>
    <n v="8"/>
    <x v="1"/>
    <x v="0"/>
    <x v="0"/>
    <x v="0"/>
  </r>
  <r>
    <s v="U417"/>
    <n v="46"/>
    <x v="0"/>
    <n v="8"/>
    <n v="4"/>
    <n v="8"/>
    <n v="3"/>
    <n v="2"/>
    <x v="0"/>
    <n v="9"/>
    <x v="3"/>
    <x v="1"/>
    <x v="1"/>
    <x v="0"/>
  </r>
  <r>
    <s v="U418"/>
    <n v="34"/>
    <x v="2"/>
    <n v="5.4"/>
    <n v="4"/>
    <n v="5"/>
    <n v="4"/>
    <n v="4"/>
    <x v="4"/>
    <n v="10"/>
    <x v="1"/>
    <x v="0"/>
    <x v="0"/>
    <x v="0"/>
  </r>
  <r>
    <s v="U419"/>
    <n v="31"/>
    <x v="0"/>
    <n v="4.5"/>
    <n v="8"/>
    <n v="5"/>
    <n v="0"/>
    <n v="4"/>
    <x v="5"/>
    <n v="10"/>
    <x v="1"/>
    <x v="0"/>
    <x v="0"/>
    <x v="0"/>
  </r>
  <r>
    <s v="U420"/>
    <n v="20"/>
    <x v="0"/>
    <n v="5.6"/>
    <n v="8"/>
    <n v="8"/>
    <n v="3"/>
    <n v="5"/>
    <x v="5"/>
    <n v="8"/>
    <x v="2"/>
    <x v="0"/>
    <x v="1"/>
    <x v="0"/>
  </r>
  <r>
    <s v="U421"/>
    <n v="27"/>
    <x v="1"/>
    <n v="6.3"/>
    <n v="4"/>
    <n v="9"/>
    <n v="5"/>
    <n v="5"/>
    <x v="3"/>
    <n v="6"/>
    <x v="1"/>
    <x v="1"/>
    <x v="1"/>
    <x v="1"/>
  </r>
  <r>
    <s v="U422"/>
    <n v="40"/>
    <x v="2"/>
    <n v="5.8"/>
    <n v="7"/>
    <n v="8"/>
    <n v="4"/>
    <n v="4"/>
    <x v="3"/>
    <n v="8"/>
    <x v="0"/>
    <x v="0"/>
    <x v="1"/>
    <x v="0"/>
  </r>
  <r>
    <s v="U423"/>
    <n v="36"/>
    <x v="0"/>
    <n v="7.7"/>
    <n v="5"/>
    <n v="8"/>
    <n v="4"/>
    <n v="0"/>
    <x v="1"/>
    <n v="8"/>
    <x v="0"/>
    <x v="1"/>
    <x v="1"/>
    <x v="0"/>
  </r>
  <r>
    <s v="U424"/>
    <n v="38"/>
    <x v="2"/>
    <n v="6.2"/>
    <n v="7"/>
    <n v="6"/>
    <n v="6"/>
    <n v="5"/>
    <x v="1"/>
    <n v="10"/>
    <x v="0"/>
    <x v="1"/>
    <x v="0"/>
    <x v="0"/>
  </r>
  <r>
    <s v="U425"/>
    <n v="31"/>
    <x v="2"/>
    <n v="5"/>
    <n v="7"/>
    <n v="6"/>
    <n v="3"/>
    <n v="4"/>
    <x v="3"/>
    <n v="10"/>
    <x v="1"/>
    <x v="0"/>
    <x v="0"/>
    <x v="0"/>
  </r>
  <r>
    <s v="U426"/>
    <n v="29"/>
    <x v="2"/>
    <n v="6.2"/>
    <n v="6"/>
    <n v="9"/>
    <n v="2"/>
    <n v="1"/>
    <x v="2"/>
    <n v="8"/>
    <x v="1"/>
    <x v="1"/>
    <x v="1"/>
    <x v="0"/>
  </r>
  <r>
    <s v="U427"/>
    <n v="46"/>
    <x v="2"/>
    <n v="6.4"/>
    <n v="6"/>
    <n v="8"/>
    <n v="5"/>
    <n v="4"/>
    <x v="4"/>
    <n v="8"/>
    <x v="3"/>
    <x v="1"/>
    <x v="1"/>
    <x v="0"/>
  </r>
  <r>
    <s v="U428"/>
    <n v="20"/>
    <x v="0"/>
    <n v="3.2"/>
    <n v="7"/>
    <n v="5"/>
    <n v="5"/>
    <n v="1"/>
    <x v="4"/>
    <n v="9"/>
    <x v="2"/>
    <x v="0"/>
    <x v="0"/>
    <x v="0"/>
  </r>
  <r>
    <s v="U429"/>
    <n v="38"/>
    <x v="0"/>
    <n v="7.6"/>
    <n v="6"/>
    <n v="9"/>
    <n v="4"/>
    <n v="3"/>
    <x v="4"/>
    <n v="8"/>
    <x v="0"/>
    <x v="1"/>
    <x v="1"/>
    <x v="0"/>
  </r>
  <r>
    <s v="U430"/>
    <n v="44"/>
    <x v="0"/>
    <n v="5"/>
    <n v="6"/>
    <n v="5"/>
    <n v="3"/>
    <n v="1"/>
    <x v="4"/>
    <n v="10"/>
    <x v="0"/>
    <x v="0"/>
    <x v="0"/>
    <x v="0"/>
  </r>
  <r>
    <s v="U431"/>
    <n v="26"/>
    <x v="2"/>
    <n v="5"/>
    <n v="6"/>
    <n v="6"/>
    <n v="3"/>
    <n v="1"/>
    <x v="3"/>
    <n v="10"/>
    <x v="1"/>
    <x v="0"/>
    <x v="0"/>
    <x v="0"/>
  </r>
  <r>
    <s v="U432"/>
    <n v="33"/>
    <x v="2"/>
    <n v="6.9"/>
    <n v="6"/>
    <n v="7"/>
    <n v="0"/>
    <n v="4"/>
    <x v="5"/>
    <n v="7"/>
    <x v="1"/>
    <x v="1"/>
    <x v="0"/>
    <x v="1"/>
  </r>
  <r>
    <s v="U433"/>
    <n v="27"/>
    <x v="0"/>
    <n v="6.8"/>
    <n v="5"/>
    <n v="8"/>
    <n v="5"/>
    <n v="4"/>
    <x v="3"/>
    <n v="7"/>
    <x v="1"/>
    <x v="1"/>
    <x v="1"/>
    <x v="1"/>
  </r>
  <r>
    <s v="U434"/>
    <n v="24"/>
    <x v="0"/>
    <n v="4.2"/>
    <n v="8"/>
    <n v="7"/>
    <n v="5"/>
    <n v="3"/>
    <x v="4"/>
    <n v="7"/>
    <x v="2"/>
    <x v="0"/>
    <x v="0"/>
    <x v="1"/>
  </r>
  <r>
    <s v="U435"/>
    <n v="25"/>
    <x v="2"/>
    <n v="6.9"/>
    <n v="7"/>
    <n v="7"/>
    <n v="0"/>
    <n v="2"/>
    <x v="3"/>
    <n v="9"/>
    <x v="2"/>
    <x v="1"/>
    <x v="0"/>
    <x v="0"/>
  </r>
  <r>
    <s v="U436"/>
    <n v="32"/>
    <x v="1"/>
    <n v="4.5"/>
    <n v="8"/>
    <n v="5"/>
    <n v="5"/>
    <n v="0"/>
    <x v="4"/>
    <n v="10"/>
    <x v="1"/>
    <x v="0"/>
    <x v="0"/>
    <x v="0"/>
  </r>
  <r>
    <s v="U437"/>
    <n v="22"/>
    <x v="2"/>
    <n v="8.8000000000000007"/>
    <n v="2"/>
    <n v="9"/>
    <n v="4"/>
    <n v="2"/>
    <x v="0"/>
    <n v="7"/>
    <x v="2"/>
    <x v="1"/>
    <x v="1"/>
    <x v="1"/>
  </r>
  <r>
    <s v="U438"/>
    <n v="28"/>
    <x v="0"/>
    <n v="4"/>
    <n v="7"/>
    <n v="5"/>
    <n v="1"/>
    <n v="3"/>
    <x v="1"/>
    <n v="9"/>
    <x v="1"/>
    <x v="0"/>
    <x v="0"/>
    <x v="0"/>
  </r>
  <r>
    <s v="U439"/>
    <n v="24"/>
    <x v="0"/>
    <n v="5.9"/>
    <n v="7"/>
    <n v="6"/>
    <n v="1"/>
    <n v="2"/>
    <x v="5"/>
    <n v="8"/>
    <x v="2"/>
    <x v="0"/>
    <x v="0"/>
    <x v="0"/>
  </r>
  <r>
    <s v="U440"/>
    <n v="42"/>
    <x v="0"/>
    <n v="4.0999999999999996"/>
    <n v="6"/>
    <n v="6"/>
    <n v="4"/>
    <n v="2"/>
    <x v="0"/>
    <n v="9"/>
    <x v="0"/>
    <x v="0"/>
    <x v="0"/>
    <x v="0"/>
  </r>
  <r>
    <s v="U441"/>
    <n v="17"/>
    <x v="2"/>
    <n v="9.5"/>
    <n v="4"/>
    <n v="9"/>
    <n v="2"/>
    <n v="2"/>
    <x v="2"/>
    <n v="4"/>
    <x v="2"/>
    <x v="1"/>
    <x v="1"/>
    <x v="2"/>
  </r>
  <r>
    <s v="U442"/>
    <n v="20"/>
    <x v="0"/>
    <n v="3.3"/>
    <n v="8"/>
    <n v="4"/>
    <n v="7"/>
    <n v="2"/>
    <x v="3"/>
    <n v="10"/>
    <x v="2"/>
    <x v="0"/>
    <x v="2"/>
    <x v="0"/>
  </r>
  <r>
    <s v="U443"/>
    <n v="44"/>
    <x v="2"/>
    <n v="6.4"/>
    <n v="5"/>
    <n v="6"/>
    <n v="5"/>
    <n v="3"/>
    <x v="2"/>
    <n v="6"/>
    <x v="0"/>
    <x v="1"/>
    <x v="0"/>
    <x v="1"/>
  </r>
  <r>
    <s v="U444"/>
    <n v="34"/>
    <x v="0"/>
    <n v="4.2"/>
    <n v="8"/>
    <n v="4"/>
    <n v="4"/>
    <n v="2"/>
    <x v="3"/>
    <n v="10"/>
    <x v="1"/>
    <x v="0"/>
    <x v="2"/>
    <x v="0"/>
  </r>
  <r>
    <s v="U445"/>
    <n v="23"/>
    <x v="2"/>
    <n v="4.9000000000000004"/>
    <n v="7"/>
    <n v="7"/>
    <n v="4"/>
    <n v="5"/>
    <x v="1"/>
    <n v="7"/>
    <x v="2"/>
    <x v="0"/>
    <x v="0"/>
    <x v="1"/>
  </r>
  <r>
    <s v="U446"/>
    <n v="16"/>
    <x v="2"/>
    <n v="6.3"/>
    <n v="6"/>
    <n v="7"/>
    <n v="6"/>
    <n v="0"/>
    <x v="0"/>
    <n v="8"/>
    <x v="2"/>
    <x v="1"/>
    <x v="0"/>
    <x v="0"/>
  </r>
  <r>
    <s v="U447"/>
    <n v="37"/>
    <x v="2"/>
    <n v="7.7"/>
    <n v="4"/>
    <n v="8"/>
    <n v="5"/>
    <n v="2"/>
    <x v="1"/>
    <n v="8"/>
    <x v="0"/>
    <x v="1"/>
    <x v="1"/>
    <x v="0"/>
  </r>
  <r>
    <s v="U448"/>
    <n v="32"/>
    <x v="0"/>
    <n v="8.4"/>
    <n v="5"/>
    <n v="9"/>
    <n v="4"/>
    <n v="1"/>
    <x v="4"/>
    <n v="7"/>
    <x v="1"/>
    <x v="1"/>
    <x v="1"/>
    <x v="1"/>
  </r>
  <r>
    <s v="U449"/>
    <n v="22"/>
    <x v="0"/>
    <n v="2.7"/>
    <n v="6"/>
    <n v="6"/>
    <n v="1"/>
    <n v="3"/>
    <x v="1"/>
    <n v="8"/>
    <x v="2"/>
    <x v="2"/>
    <x v="0"/>
    <x v="0"/>
  </r>
  <r>
    <s v="U450"/>
    <n v="40"/>
    <x v="0"/>
    <n v="6"/>
    <n v="4"/>
    <n v="6"/>
    <n v="9"/>
    <n v="3"/>
    <x v="1"/>
    <n v="8"/>
    <x v="0"/>
    <x v="0"/>
    <x v="0"/>
    <x v="0"/>
  </r>
  <r>
    <s v="U451"/>
    <n v="19"/>
    <x v="2"/>
    <n v="8.1"/>
    <n v="5"/>
    <n v="9"/>
    <n v="1"/>
    <n v="5"/>
    <x v="4"/>
    <n v="7"/>
    <x v="2"/>
    <x v="1"/>
    <x v="1"/>
    <x v="1"/>
  </r>
  <r>
    <s v="U452"/>
    <n v="21"/>
    <x v="2"/>
    <n v="2.5"/>
    <n v="9"/>
    <n v="3"/>
    <n v="2"/>
    <n v="5"/>
    <x v="3"/>
    <n v="10"/>
    <x v="2"/>
    <x v="2"/>
    <x v="2"/>
    <x v="0"/>
  </r>
  <r>
    <s v="U453"/>
    <n v="46"/>
    <x v="2"/>
    <n v="6.1"/>
    <n v="6"/>
    <n v="8"/>
    <n v="0"/>
    <n v="1"/>
    <x v="4"/>
    <n v="6"/>
    <x v="3"/>
    <x v="1"/>
    <x v="1"/>
    <x v="1"/>
  </r>
  <r>
    <s v="U454"/>
    <n v="34"/>
    <x v="2"/>
    <n v="5.5"/>
    <n v="6"/>
    <n v="5"/>
    <n v="4"/>
    <n v="3"/>
    <x v="0"/>
    <n v="10"/>
    <x v="1"/>
    <x v="0"/>
    <x v="0"/>
    <x v="0"/>
  </r>
  <r>
    <s v="U455"/>
    <n v="42"/>
    <x v="2"/>
    <n v="6.2"/>
    <n v="6"/>
    <n v="6"/>
    <n v="3"/>
    <n v="3"/>
    <x v="1"/>
    <n v="6"/>
    <x v="0"/>
    <x v="1"/>
    <x v="0"/>
    <x v="1"/>
  </r>
  <r>
    <s v="U456"/>
    <n v="25"/>
    <x v="0"/>
    <n v="4.0999999999999996"/>
    <n v="6"/>
    <n v="5"/>
    <n v="5"/>
    <n v="1"/>
    <x v="4"/>
    <n v="9"/>
    <x v="2"/>
    <x v="0"/>
    <x v="0"/>
    <x v="0"/>
  </r>
  <r>
    <s v="U457"/>
    <n v="41"/>
    <x v="2"/>
    <n v="2.9"/>
    <n v="8"/>
    <n v="3"/>
    <n v="0"/>
    <n v="3"/>
    <x v="1"/>
    <n v="10"/>
    <x v="0"/>
    <x v="2"/>
    <x v="2"/>
    <x v="0"/>
  </r>
  <r>
    <s v="U458"/>
    <n v="34"/>
    <x v="0"/>
    <n v="2.1"/>
    <n v="9"/>
    <n v="4"/>
    <n v="5"/>
    <n v="2"/>
    <x v="0"/>
    <n v="10"/>
    <x v="1"/>
    <x v="2"/>
    <x v="2"/>
    <x v="0"/>
  </r>
  <r>
    <s v="U459"/>
    <n v="18"/>
    <x v="0"/>
    <n v="7.3"/>
    <n v="5"/>
    <n v="8"/>
    <n v="1"/>
    <n v="1"/>
    <x v="2"/>
    <n v="7"/>
    <x v="2"/>
    <x v="1"/>
    <x v="1"/>
    <x v="1"/>
  </r>
  <r>
    <s v="U460"/>
    <n v="28"/>
    <x v="2"/>
    <n v="7.5"/>
    <n v="6"/>
    <n v="8"/>
    <n v="3"/>
    <n v="2"/>
    <x v="0"/>
    <n v="6"/>
    <x v="1"/>
    <x v="1"/>
    <x v="1"/>
    <x v="1"/>
  </r>
  <r>
    <s v="U461"/>
    <n v="43"/>
    <x v="0"/>
    <n v="6"/>
    <n v="6"/>
    <n v="5"/>
    <n v="5"/>
    <n v="1"/>
    <x v="5"/>
    <n v="9"/>
    <x v="0"/>
    <x v="0"/>
    <x v="0"/>
    <x v="0"/>
  </r>
  <r>
    <s v="U462"/>
    <n v="35"/>
    <x v="0"/>
    <n v="4.5"/>
    <n v="7"/>
    <n v="8"/>
    <n v="4"/>
    <n v="4"/>
    <x v="5"/>
    <n v="8"/>
    <x v="1"/>
    <x v="0"/>
    <x v="1"/>
    <x v="0"/>
  </r>
  <r>
    <s v="U463"/>
    <n v="43"/>
    <x v="2"/>
    <n v="2.6"/>
    <n v="9"/>
    <n v="5"/>
    <n v="4"/>
    <n v="5"/>
    <x v="5"/>
    <n v="10"/>
    <x v="0"/>
    <x v="2"/>
    <x v="0"/>
    <x v="0"/>
  </r>
  <r>
    <s v="U464"/>
    <n v="23"/>
    <x v="0"/>
    <n v="6.5"/>
    <n v="5"/>
    <n v="10"/>
    <n v="5"/>
    <n v="3"/>
    <x v="1"/>
    <n v="5"/>
    <x v="2"/>
    <x v="1"/>
    <x v="1"/>
    <x v="1"/>
  </r>
  <r>
    <s v="U465"/>
    <n v="16"/>
    <x v="2"/>
    <n v="3.5"/>
    <n v="8"/>
    <n v="5"/>
    <n v="4"/>
    <n v="3"/>
    <x v="3"/>
    <n v="10"/>
    <x v="2"/>
    <x v="0"/>
    <x v="0"/>
    <x v="0"/>
  </r>
  <r>
    <s v="U466"/>
    <n v="18"/>
    <x v="0"/>
    <n v="4.2"/>
    <n v="7"/>
    <n v="7"/>
    <n v="2"/>
    <n v="3"/>
    <x v="3"/>
    <n v="10"/>
    <x v="2"/>
    <x v="0"/>
    <x v="0"/>
    <x v="0"/>
  </r>
  <r>
    <s v="U467"/>
    <n v="28"/>
    <x v="0"/>
    <n v="4.4000000000000004"/>
    <n v="7"/>
    <n v="7"/>
    <n v="3"/>
    <n v="4"/>
    <x v="3"/>
    <n v="8"/>
    <x v="1"/>
    <x v="0"/>
    <x v="0"/>
    <x v="0"/>
  </r>
  <r>
    <s v="U468"/>
    <n v="43"/>
    <x v="0"/>
    <n v="5.0999999999999996"/>
    <n v="6"/>
    <n v="6"/>
    <n v="3"/>
    <n v="4"/>
    <x v="1"/>
    <n v="9"/>
    <x v="0"/>
    <x v="0"/>
    <x v="0"/>
    <x v="0"/>
  </r>
  <r>
    <s v="U469"/>
    <n v="40"/>
    <x v="0"/>
    <n v="4.0999999999999996"/>
    <n v="6"/>
    <n v="7"/>
    <n v="1"/>
    <n v="2"/>
    <x v="0"/>
    <n v="10"/>
    <x v="0"/>
    <x v="0"/>
    <x v="0"/>
    <x v="0"/>
  </r>
  <r>
    <s v="U470"/>
    <n v="48"/>
    <x v="2"/>
    <n v="5.6"/>
    <n v="6"/>
    <n v="6"/>
    <n v="5"/>
    <n v="3"/>
    <x v="3"/>
    <n v="8"/>
    <x v="3"/>
    <x v="0"/>
    <x v="0"/>
    <x v="0"/>
  </r>
  <r>
    <s v="U471"/>
    <n v="21"/>
    <x v="0"/>
    <n v="4.4000000000000004"/>
    <n v="5"/>
    <n v="6"/>
    <n v="4"/>
    <n v="3"/>
    <x v="2"/>
    <n v="7"/>
    <x v="2"/>
    <x v="0"/>
    <x v="0"/>
    <x v="1"/>
  </r>
  <r>
    <s v="U472"/>
    <n v="47"/>
    <x v="2"/>
    <n v="6.8"/>
    <n v="5"/>
    <n v="4"/>
    <n v="3"/>
    <n v="1"/>
    <x v="5"/>
    <n v="10"/>
    <x v="3"/>
    <x v="1"/>
    <x v="2"/>
    <x v="0"/>
  </r>
  <r>
    <s v="U473"/>
    <n v="36"/>
    <x v="2"/>
    <n v="7.4"/>
    <n v="3"/>
    <n v="8"/>
    <n v="5"/>
    <n v="4"/>
    <x v="0"/>
    <n v="5"/>
    <x v="0"/>
    <x v="1"/>
    <x v="1"/>
    <x v="1"/>
  </r>
  <r>
    <s v="U474"/>
    <n v="31"/>
    <x v="2"/>
    <n v="5.7"/>
    <n v="7"/>
    <n v="5"/>
    <n v="3"/>
    <n v="5"/>
    <x v="5"/>
    <n v="10"/>
    <x v="1"/>
    <x v="0"/>
    <x v="0"/>
    <x v="0"/>
  </r>
  <r>
    <s v="U475"/>
    <n v="36"/>
    <x v="2"/>
    <n v="6.3"/>
    <n v="7"/>
    <n v="7"/>
    <n v="3"/>
    <n v="4"/>
    <x v="3"/>
    <n v="8"/>
    <x v="0"/>
    <x v="1"/>
    <x v="0"/>
    <x v="0"/>
  </r>
  <r>
    <s v="U476"/>
    <n v="26"/>
    <x v="2"/>
    <n v="9.3000000000000007"/>
    <n v="3"/>
    <n v="8"/>
    <n v="2"/>
    <n v="1"/>
    <x v="0"/>
    <n v="6"/>
    <x v="1"/>
    <x v="1"/>
    <x v="1"/>
    <x v="1"/>
  </r>
  <r>
    <s v="U477"/>
    <n v="34"/>
    <x v="0"/>
    <n v="3.4"/>
    <n v="8"/>
    <n v="5"/>
    <n v="4"/>
    <n v="0"/>
    <x v="4"/>
    <n v="10"/>
    <x v="1"/>
    <x v="0"/>
    <x v="0"/>
    <x v="0"/>
  </r>
  <r>
    <s v="U478"/>
    <n v="35"/>
    <x v="0"/>
    <n v="3.3"/>
    <n v="9"/>
    <n v="6"/>
    <n v="4"/>
    <n v="4"/>
    <x v="2"/>
    <n v="10"/>
    <x v="1"/>
    <x v="0"/>
    <x v="0"/>
    <x v="0"/>
  </r>
  <r>
    <s v="U479"/>
    <n v="33"/>
    <x v="0"/>
    <n v="6.8"/>
    <n v="6"/>
    <n v="8"/>
    <n v="2"/>
    <n v="1"/>
    <x v="3"/>
    <n v="9"/>
    <x v="1"/>
    <x v="1"/>
    <x v="1"/>
    <x v="0"/>
  </r>
  <r>
    <s v="U480"/>
    <n v="29"/>
    <x v="2"/>
    <n v="9"/>
    <n v="4"/>
    <n v="10"/>
    <n v="3"/>
    <n v="3"/>
    <x v="3"/>
    <n v="4"/>
    <x v="1"/>
    <x v="1"/>
    <x v="1"/>
    <x v="2"/>
  </r>
  <r>
    <s v="U481"/>
    <n v="30"/>
    <x v="0"/>
    <n v="5"/>
    <n v="7"/>
    <n v="8"/>
    <n v="2"/>
    <n v="5"/>
    <x v="2"/>
    <n v="7"/>
    <x v="1"/>
    <x v="0"/>
    <x v="1"/>
    <x v="1"/>
  </r>
  <r>
    <s v="U482"/>
    <n v="46"/>
    <x v="2"/>
    <n v="8.6"/>
    <n v="4"/>
    <n v="8"/>
    <n v="2"/>
    <n v="2"/>
    <x v="2"/>
    <n v="4"/>
    <x v="3"/>
    <x v="1"/>
    <x v="1"/>
    <x v="2"/>
  </r>
  <r>
    <s v="U483"/>
    <n v="16"/>
    <x v="2"/>
    <n v="5.7"/>
    <n v="6"/>
    <n v="6"/>
    <n v="0"/>
    <n v="2"/>
    <x v="4"/>
    <n v="8"/>
    <x v="2"/>
    <x v="0"/>
    <x v="0"/>
    <x v="0"/>
  </r>
  <r>
    <s v="U484"/>
    <n v="18"/>
    <x v="0"/>
    <n v="4.3"/>
    <n v="7"/>
    <n v="7"/>
    <n v="3"/>
    <n v="3"/>
    <x v="3"/>
    <n v="10"/>
    <x v="2"/>
    <x v="0"/>
    <x v="0"/>
    <x v="0"/>
  </r>
  <r>
    <s v="U485"/>
    <n v="31"/>
    <x v="2"/>
    <n v="3.7"/>
    <n v="7"/>
    <n v="7"/>
    <n v="0"/>
    <n v="1"/>
    <x v="1"/>
    <n v="9"/>
    <x v="1"/>
    <x v="0"/>
    <x v="0"/>
    <x v="0"/>
  </r>
  <r>
    <s v="U486"/>
    <n v="38"/>
    <x v="0"/>
    <n v="6.6"/>
    <n v="6"/>
    <n v="8"/>
    <n v="2"/>
    <n v="1"/>
    <x v="3"/>
    <n v="7"/>
    <x v="0"/>
    <x v="1"/>
    <x v="1"/>
    <x v="1"/>
  </r>
  <r>
    <s v="U487"/>
    <n v="26"/>
    <x v="0"/>
    <n v="3.9"/>
    <n v="8"/>
    <n v="5"/>
    <n v="2"/>
    <n v="3"/>
    <x v="5"/>
    <n v="10"/>
    <x v="1"/>
    <x v="0"/>
    <x v="0"/>
    <x v="0"/>
  </r>
  <r>
    <s v="U488"/>
    <n v="27"/>
    <x v="2"/>
    <n v="5.6"/>
    <n v="7"/>
    <n v="7"/>
    <n v="5"/>
    <n v="2"/>
    <x v="0"/>
    <n v="8"/>
    <x v="1"/>
    <x v="0"/>
    <x v="0"/>
    <x v="0"/>
  </r>
  <r>
    <s v="U489"/>
    <n v="25"/>
    <x v="2"/>
    <n v="8.4"/>
    <n v="5"/>
    <n v="9"/>
    <n v="1"/>
    <n v="3"/>
    <x v="0"/>
    <n v="7"/>
    <x v="2"/>
    <x v="1"/>
    <x v="1"/>
    <x v="1"/>
  </r>
  <r>
    <s v="U490"/>
    <n v="47"/>
    <x v="2"/>
    <n v="4.9000000000000004"/>
    <n v="7"/>
    <n v="7"/>
    <n v="1"/>
    <n v="7"/>
    <x v="5"/>
    <n v="10"/>
    <x v="3"/>
    <x v="0"/>
    <x v="0"/>
    <x v="0"/>
  </r>
  <r>
    <s v="U491"/>
    <n v="31"/>
    <x v="0"/>
    <n v="7.9"/>
    <n v="5"/>
    <n v="8"/>
    <n v="2"/>
    <n v="3"/>
    <x v="0"/>
    <n v="6"/>
    <x v="1"/>
    <x v="1"/>
    <x v="1"/>
    <x v="1"/>
  </r>
  <r>
    <s v="U492"/>
    <n v="23"/>
    <x v="0"/>
    <n v="3.3"/>
    <n v="10"/>
    <n v="4"/>
    <n v="2"/>
    <n v="1"/>
    <x v="2"/>
    <n v="10"/>
    <x v="2"/>
    <x v="0"/>
    <x v="2"/>
    <x v="0"/>
  </r>
  <r>
    <s v="U493"/>
    <n v="27"/>
    <x v="2"/>
    <n v="4.5"/>
    <n v="5"/>
    <n v="7"/>
    <n v="6"/>
    <n v="5"/>
    <x v="0"/>
    <n v="9"/>
    <x v="1"/>
    <x v="0"/>
    <x v="0"/>
    <x v="0"/>
  </r>
  <r>
    <s v="U494"/>
    <n v="39"/>
    <x v="2"/>
    <n v="3"/>
    <n v="7"/>
    <n v="2"/>
    <n v="1"/>
    <n v="0"/>
    <x v="0"/>
    <n v="10"/>
    <x v="0"/>
    <x v="2"/>
    <x v="2"/>
    <x v="0"/>
  </r>
  <r>
    <s v="U495"/>
    <n v="43"/>
    <x v="2"/>
    <n v="5.6"/>
    <n v="8"/>
    <n v="6"/>
    <n v="2"/>
    <n v="0"/>
    <x v="5"/>
    <n v="10"/>
    <x v="0"/>
    <x v="0"/>
    <x v="0"/>
    <x v="0"/>
  </r>
  <r>
    <s v="U496"/>
    <n v="23"/>
    <x v="0"/>
    <n v="6.9"/>
    <n v="5"/>
    <n v="7"/>
    <n v="4"/>
    <n v="2"/>
    <x v="4"/>
    <n v="10"/>
    <x v="2"/>
    <x v="1"/>
    <x v="0"/>
    <x v="0"/>
  </r>
  <r>
    <s v="U497"/>
    <n v="43"/>
    <x v="2"/>
    <n v="5.6"/>
    <n v="7"/>
    <n v="6"/>
    <n v="5"/>
    <n v="2"/>
    <x v="0"/>
    <n v="9"/>
    <x v="0"/>
    <x v="0"/>
    <x v="0"/>
    <x v="0"/>
  </r>
  <r>
    <s v="U498"/>
    <n v="41"/>
    <x v="0"/>
    <n v="7.7"/>
    <n v="5"/>
    <n v="7"/>
    <n v="2"/>
    <n v="2"/>
    <x v="1"/>
    <n v="8"/>
    <x v="0"/>
    <x v="1"/>
    <x v="0"/>
    <x v="0"/>
  </r>
  <r>
    <s v="U499"/>
    <n v="23"/>
    <x v="0"/>
    <n v="4.2"/>
    <n v="9"/>
    <n v="7"/>
    <n v="0"/>
    <n v="2"/>
    <x v="0"/>
    <n v="9"/>
    <x v="2"/>
    <x v="0"/>
    <x v="0"/>
    <x v="0"/>
  </r>
  <r>
    <s v="U500"/>
    <n v="43"/>
    <x v="2"/>
    <n v="5.9"/>
    <n v="5"/>
    <n v="8"/>
    <n v="3"/>
    <n v="3"/>
    <x v="4"/>
    <n v="7"/>
    <x v="0"/>
    <x v="0"/>
    <x v="1"/>
    <x v="1"/>
  </r>
  <r>
    <m/>
    <m/>
    <x v="3"/>
    <m/>
    <m/>
    <m/>
    <m/>
    <m/>
    <x v="6"/>
    <m/>
    <x v="4"/>
    <x v="3"/>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U001"/>
    <n v="44"/>
    <x v="0"/>
    <n v="3.1"/>
    <n v="7"/>
    <n v="6"/>
    <n v="2"/>
    <n v="5"/>
    <x v="0"/>
    <n v="10"/>
    <s v="36–45"/>
    <s v="Medium"/>
    <s v="Medium"/>
    <s v="High"/>
  </r>
  <r>
    <s v="U002"/>
    <n v="30"/>
    <x v="1"/>
    <n v="5.0999999999999996"/>
    <n v="7"/>
    <n v="8"/>
    <n v="5"/>
    <n v="3"/>
    <x v="1"/>
    <n v="10"/>
    <s v="26–35"/>
    <s v="Medium"/>
    <s v="High"/>
    <s v="High"/>
  </r>
  <r>
    <s v="U003"/>
    <n v="23"/>
    <x v="1"/>
    <n v="7.4"/>
    <n v="6"/>
    <n v="7"/>
    <n v="1"/>
    <n v="3"/>
    <x v="2"/>
    <n v="6"/>
    <s v="15–25"/>
    <s v="High"/>
    <s v="Medium"/>
    <s v="Normal"/>
  </r>
  <r>
    <s v="U004"/>
    <n v="36"/>
    <x v="2"/>
    <n v="5.7"/>
    <n v="7"/>
    <n v="8"/>
    <n v="1"/>
    <n v="1"/>
    <x v="3"/>
    <n v="8"/>
    <s v="36–45"/>
    <s v="Medium"/>
    <s v="High"/>
    <s v="High"/>
  </r>
  <r>
    <s v="U005"/>
    <n v="34"/>
    <x v="2"/>
    <n v="7"/>
    <n v="4"/>
    <n v="7"/>
    <n v="5"/>
    <n v="1"/>
    <x v="4"/>
    <n v="8"/>
    <s v="26–35"/>
    <s v="High"/>
    <s v="Medium"/>
    <s v="High"/>
  </r>
  <r>
    <s v="U006"/>
    <n v="38"/>
    <x v="0"/>
    <n v="6.6"/>
    <n v="5"/>
    <n v="7"/>
    <n v="4"/>
    <n v="3"/>
    <x v="1"/>
    <n v="8"/>
    <s v="36–45"/>
    <s v="High"/>
    <s v="Medium"/>
    <s v="High"/>
  </r>
  <r>
    <s v="U007"/>
    <n v="26"/>
    <x v="2"/>
    <n v="7.8"/>
    <n v="4"/>
    <n v="8"/>
    <n v="2"/>
    <n v="0"/>
    <x v="3"/>
    <n v="7"/>
    <s v="26–35"/>
    <s v="High"/>
    <s v="High"/>
    <s v="Normal"/>
  </r>
  <r>
    <s v="U008"/>
    <n v="26"/>
    <x v="2"/>
    <n v="7.4"/>
    <n v="5"/>
    <n v="6"/>
    <n v="1"/>
    <n v="4"/>
    <x v="5"/>
    <n v="7"/>
    <s v="26–35"/>
    <s v="High"/>
    <s v="Medium"/>
    <s v="Normal"/>
  </r>
  <r>
    <s v="U009"/>
    <n v="39"/>
    <x v="0"/>
    <n v="4.7"/>
    <n v="7"/>
    <n v="7"/>
    <n v="6"/>
    <n v="1"/>
    <x v="2"/>
    <n v="9"/>
    <s v="36–45"/>
    <s v="Medium"/>
    <s v="Medium"/>
    <s v="High"/>
  </r>
  <r>
    <s v="U010"/>
    <n v="39"/>
    <x v="2"/>
    <n v="6.6"/>
    <n v="6"/>
    <n v="8"/>
    <n v="0"/>
    <n v="0"/>
    <x v="0"/>
    <n v="7"/>
    <s v="36–45"/>
    <s v="High"/>
    <s v="High"/>
    <s v="Normal"/>
  </r>
  <r>
    <s v="U011"/>
    <n v="18"/>
    <x v="2"/>
    <n v="2.8"/>
    <n v="7"/>
    <n v="6"/>
    <n v="2"/>
    <n v="0"/>
    <x v="5"/>
    <n v="7"/>
    <s v="15–25"/>
    <s v="Low"/>
    <s v="Medium"/>
    <s v="Normal"/>
  </r>
  <r>
    <s v="U012"/>
    <n v="37"/>
    <x v="1"/>
    <n v="5.4"/>
    <n v="5"/>
    <n v="7"/>
    <n v="3"/>
    <n v="2"/>
    <x v="5"/>
    <n v="9"/>
    <s v="36–45"/>
    <s v="Medium"/>
    <s v="Medium"/>
    <s v="High"/>
  </r>
  <r>
    <s v="U013"/>
    <n v="17"/>
    <x v="2"/>
    <n v="7"/>
    <n v="7"/>
    <n v="10"/>
    <n v="7"/>
    <n v="1"/>
    <x v="2"/>
    <n v="8"/>
    <s v="15–25"/>
    <s v="High"/>
    <s v="High"/>
    <s v="High"/>
  </r>
  <r>
    <s v="U014"/>
    <n v="39"/>
    <x v="2"/>
    <n v="5.7"/>
    <n v="5"/>
    <n v="7"/>
    <n v="4"/>
    <n v="0"/>
    <x v="0"/>
    <n v="8"/>
    <s v="36–45"/>
    <s v="Medium"/>
    <s v="Medium"/>
    <s v="High"/>
  </r>
  <r>
    <s v="U015"/>
    <n v="45"/>
    <x v="0"/>
    <n v="6.3"/>
    <n v="7"/>
    <n v="7"/>
    <n v="4"/>
    <n v="3"/>
    <x v="4"/>
    <n v="9"/>
    <s v="36–45"/>
    <s v="High"/>
    <s v="Medium"/>
    <s v="High"/>
  </r>
  <r>
    <s v="U016"/>
    <n v="17"/>
    <x v="2"/>
    <n v="5.0999999999999996"/>
    <n v="7"/>
    <n v="6"/>
    <n v="2"/>
    <n v="5"/>
    <x v="1"/>
    <n v="10"/>
    <s v="15–25"/>
    <s v="Medium"/>
    <s v="Medium"/>
    <s v="High"/>
  </r>
  <r>
    <s v="U017"/>
    <n v="36"/>
    <x v="2"/>
    <n v="7.5"/>
    <n v="5"/>
    <n v="8"/>
    <n v="4"/>
    <n v="4"/>
    <x v="0"/>
    <n v="7"/>
    <s v="36–45"/>
    <s v="High"/>
    <s v="High"/>
    <s v="Normal"/>
  </r>
  <r>
    <s v="U018"/>
    <n v="48"/>
    <x v="0"/>
    <n v="5.4"/>
    <n v="6"/>
    <n v="4"/>
    <n v="3"/>
    <n v="4"/>
    <x v="3"/>
    <n v="7"/>
    <s v="46+"/>
    <s v="Medium"/>
    <s v="Low"/>
    <s v="Normal"/>
  </r>
  <r>
    <s v="U019"/>
    <n v="27"/>
    <x v="0"/>
    <n v="4.7"/>
    <n v="6"/>
    <n v="6"/>
    <n v="0"/>
    <n v="2"/>
    <x v="5"/>
    <n v="9"/>
    <s v="26–35"/>
    <s v="Medium"/>
    <s v="Medium"/>
    <s v="High"/>
  </r>
  <r>
    <s v="U020"/>
    <n v="37"/>
    <x v="0"/>
    <n v="7.1"/>
    <n v="6"/>
    <n v="6"/>
    <n v="5"/>
    <n v="4"/>
    <x v="3"/>
    <n v="10"/>
    <s v="36–45"/>
    <s v="High"/>
    <s v="Medium"/>
    <s v="High"/>
  </r>
  <r>
    <s v="U021"/>
    <n v="40"/>
    <x v="2"/>
    <n v="3"/>
    <n v="8"/>
    <n v="5"/>
    <n v="5"/>
    <n v="4"/>
    <x v="4"/>
    <n v="10"/>
    <s v="36–45"/>
    <s v="Low"/>
    <s v="Medium"/>
    <s v="High"/>
  </r>
  <r>
    <s v="U022"/>
    <n v="42"/>
    <x v="1"/>
    <n v="6.4"/>
    <n v="7"/>
    <n v="6"/>
    <n v="5"/>
    <n v="3"/>
    <x v="3"/>
    <n v="10"/>
    <s v="36–45"/>
    <s v="High"/>
    <s v="Medium"/>
    <s v="High"/>
  </r>
  <r>
    <s v="U023"/>
    <n v="43"/>
    <x v="0"/>
    <n v="3.6"/>
    <n v="8"/>
    <n v="5"/>
    <n v="3"/>
    <n v="1"/>
    <x v="0"/>
    <n v="9"/>
    <s v="36–45"/>
    <s v="Medium"/>
    <s v="Medium"/>
    <s v="High"/>
  </r>
  <r>
    <s v="U024"/>
    <n v="31"/>
    <x v="2"/>
    <n v="7.8"/>
    <n v="5"/>
    <n v="8"/>
    <n v="1"/>
    <n v="2"/>
    <x v="3"/>
    <n v="7"/>
    <s v="26–35"/>
    <s v="High"/>
    <s v="High"/>
    <s v="Normal"/>
  </r>
  <r>
    <s v="U025"/>
    <n v="30"/>
    <x v="0"/>
    <n v="5"/>
    <n v="6"/>
    <n v="6"/>
    <n v="0"/>
    <n v="5"/>
    <x v="4"/>
    <n v="8"/>
    <s v="26–35"/>
    <s v="Medium"/>
    <s v="Medium"/>
    <s v="High"/>
  </r>
  <r>
    <s v="U026"/>
    <n v="18"/>
    <x v="1"/>
    <n v="5.7"/>
    <n v="6"/>
    <n v="7"/>
    <n v="3"/>
    <n v="2"/>
    <x v="4"/>
    <n v="8"/>
    <s v="15–25"/>
    <s v="Medium"/>
    <s v="Medium"/>
    <s v="High"/>
  </r>
  <r>
    <s v="U027"/>
    <n v="22"/>
    <x v="2"/>
    <n v="6.2"/>
    <n v="5"/>
    <n v="8"/>
    <n v="5"/>
    <n v="0"/>
    <x v="4"/>
    <n v="6"/>
    <s v="15–25"/>
    <s v="High"/>
    <s v="High"/>
    <s v="Normal"/>
  </r>
  <r>
    <s v="U028"/>
    <n v="36"/>
    <x v="2"/>
    <n v="2"/>
    <n v="8"/>
    <n v="4"/>
    <n v="5"/>
    <n v="0"/>
    <x v="0"/>
    <n v="10"/>
    <s v="36–45"/>
    <s v="Low"/>
    <s v="Low"/>
    <s v="High"/>
  </r>
  <r>
    <s v="U029"/>
    <n v="24"/>
    <x v="0"/>
    <n v="4.3"/>
    <n v="6"/>
    <n v="6"/>
    <n v="5"/>
    <n v="2"/>
    <x v="4"/>
    <n v="10"/>
    <s v="15–25"/>
    <s v="Medium"/>
    <s v="Medium"/>
    <s v="High"/>
  </r>
  <r>
    <s v="U030"/>
    <n v="33"/>
    <x v="0"/>
    <n v="7.4"/>
    <n v="6"/>
    <n v="10"/>
    <n v="3"/>
    <n v="4"/>
    <x v="5"/>
    <n v="8"/>
    <s v="26–35"/>
    <s v="High"/>
    <s v="High"/>
    <s v="High"/>
  </r>
  <r>
    <s v="U031"/>
    <n v="19"/>
    <x v="0"/>
    <n v="7.1"/>
    <n v="5"/>
    <n v="8"/>
    <n v="5"/>
    <n v="2"/>
    <x v="4"/>
    <n v="9"/>
    <s v="15–25"/>
    <s v="High"/>
    <s v="High"/>
    <s v="High"/>
  </r>
  <r>
    <s v="U032"/>
    <n v="40"/>
    <x v="0"/>
    <n v="6"/>
    <n v="6"/>
    <n v="7"/>
    <n v="5"/>
    <n v="4"/>
    <x v="3"/>
    <n v="7"/>
    <s v="36–45"/>
    <s v="Medium"/>
    <s v="Medium"/>
    <s v="Normal"/>
  </r>
  <r>
    <s v="U033"/>
    <n v="29"/>
    <x v="2"/>
    <n v="3.1"/>
    <n v="8"/>
    <n v="4"/>
    <n v="2"/>
    <n v="2"/>
    <x v="1"/>
    <n v="10"/>
    <s v="26–35"/>
    <s v="Medium"/>
    <s v="Low"/>
    <s v="High"/>
  </r>
  <r>
    <s v="U034"/>
    <n v="24"/>
    <x v="2"/>
    <n v="6.6"/>
    <n v="6"/>
    <n v="7"/>
    <n v="4"/>
    <n v="0"/>
    <x v="3"/>
    <n v="7"/>
    <s v="15–25"/>
    <s v="High"/>
    <s v="Medium"/>
    <s v="Normal"/>
  </r>
  <r>
    <s v="U035"/>
    <n v="41"/>
    <x v="1"/>
    <n v="6.8"/>
    <n v="8"/>
    <n v="7"/>
    <n v="2"/>
    <n v="2"/>
    <x v="1"/>
    <n v="9"/>
    <s v="36–45"/>
    <s v="High"/>
    <s v="Medium"/>
    <s v="High"/>
  </r>
  <r>
    <s v="U036"/>
    <n v="17"/>
    <x v="1"/>
    <n v="5.6"/>
    <n v="6"/>
    <n v="7"/>
    <n v="4"/>
    <n v="3"/>
    <x v="3"/>
    <n v="7"/>
    <s v="15–25"/>
    <s v="Medium"/>
    <s v="Medium"/>
    <s v="Normal"/>
  </r>
  <r>
    <s v="U037"/>
    <n v="35"/>
    <x v="2"/>
    <n v="7.7"/>
    <n v="4"/>
    <n v="8"/>
    <n v="0"/>
    <n v="3"/>
    <x v="0"/>
    <n v="8"/>
    <s v="26–35"/>
    <s v="High"/>
    <s v="High"/>
    <s v="High"/>
  </r>
  <r>
    <s v="U038"/>
    <n v="43"/>
    <x v="2"/>
    <n v="4.3"/>
    <n v="8"/>
    <n v="4"/>
    <n v="1"/>
    <n v="1"/>
    <x v="3"/>
    <n v="10"/>
    <s v="36–45"/>
    <s v="Medium"/>
    <s v="Low"/>
    <s v="High"/>
  </r>
  <r>
    <s v="U039"/>
    <n v="22"/>
    <x v="1"/>
    <n v="4.5999999999999996"/>
    <n v="4"/>
    <n v="6"/>
    <n v="5"/>
    <n v="2"/>
    <x v="0"/>
    <n v="9"/>
    <s v="15–25"/>
    <s v="Medium"/>
    <s v="Medium"/>
    <s v="High"/>
  </r>
  <r>
    <s v="U040"/>
    <n v="23"/>
    <x v="2"/>
    <n v="1"/>
    <n v="9"/>
    <n v="5"/>
    <n v="5"/>
    <n v="7"/>
    <x v="0"/>
    <n v="10"/>
    <s v="15–25"/>
    <s v="Low"/>
    <s v="Medium"/>
    <s v="High"/>
  </r>
  <r>
    <s v="U041"/>
    <n v="29"/>
    <x v="0"/>
    <n v="7.2"/>
    <n v="5"/>
    <n v="7"/>
    <n v="4"/>
    <n v="1"/>
    <x v="4"/>
    <n v="10"/>
    <s v="26–35"/>
    <s v="High"/>
    <s v="Medium"/>
    <s v="High"/>
  </r>
  <r>
    <s v="U042"/>
    <n v="32"/>
    <x v="0"/>
    <n v="6.1"/>
    <n v="5"/>
    <n v="6"/>
    <n v="3"/>
    <n v="3"/>
    <x v="5"/>
    <n v="7"/>
    <s v="26–35"/>
    <s v="High"/>
    <s v="Medium"/>
    <s v="Normal"/>
  </r>
  <r>
    <s v="U043"/>
    <n v="19"/>
    <x v="0"/>
    <n v="2.5"/>
    <n v="9"/>
    <n v="3"/>
    <n v="0"/>
    <n v="0"/>
    <x v="1"/>
    <n v="10"/>
    <s v="15–25"/>
    <s v="Low"/>
    <s v="Low"/>
    <s v="High"/>
  </r>
  <r>
    <s v="U044"/>
    <n v="17"/>
    <x v="1"/>
    <n v="2.2999999999999998"/>
    <n v="9"/>
    <n v="3"/>
    <n v="3"/>
    <n v="4"/>
    <x v="4"/>
    <n v="10"/>
    <s v="15–25"/>
    <s v="Low"/>
    <s v="Low"/>
    <s v="High"/>
  </r>
  <r>
    <s v="U045"/>
    <n v="21"/>
    <x v="2"/>
    <n v="3.9"/>
    <n v="6"/>
    <n v="6"/>
    <n v="4"/>
    <n v="1"/>
    <x v="4"/>
    <n v="8"/>
    <s v="15–25"/>
    <s v="Medium"/>
    <s v="Medium"/>
    <s v="High"/>
  </r>
  <r>
    <s v="U046"/>
    <n v="19"/>
    <x v="0"/>
    <n v="6.9"/>
    <n v="5"/>
    <n v="7"/>
    <n v="2"/>
    <n v="3"/>
    <x v="0"/>
    <n v="9"/>
    <s v="15–25"/>
    <s v="High"/>
    <s v="Medium"/>
    <s v="High"/>
  </r>
  <r>
    <s v="U047"/>
    <n v="44"/>
    <x v="2"/>
    <n v="5"/>
    <n v="4"/>
    <n v="7"/>
    <n v="2"/>
    <n v="1"/>
    <x v="0"/>
    <n v="8"/>
    <s v="36–45"/>
    <s v="Medium"/>
    <s v="Medium"/>
    <s v="High"/>
  </r>
  <r>
    <s v="U048"/>
    <n v="33"/>
    <x v="2"/>
    <n v="4.0999999999999996"/>
    <n v="8"/>
    <n v="7"/>
    <n v="6"/>
    <n v="3"/>
    <x v="1"/>
    <n v="9"/>
    <s v="26–35"/>
    <s v="Medium"/>
    <s v="Medium"/>
    <s v="High"/>
  </r>
  <r>
    <s v="U049"/>
    <n v="41"/>
    <x v="0"/>
    <n v="3.7"/>
    <n v="8"/>
    <n v="6"/>
    <n v="3"/>
    <n v="1"/>
    <x v="3"/>
    <n v="9"/>
    <s v="36–45"/>
    <s v="Medium"/>
    <s v="Medium"/>
    <s v="High"/>
  </r>
  <r>
    <s v="U050"/>
    <n v="49"/>
    <x v="0"/>
    <n v="3.6"/>
    <n v="7"/>
    <n v="5"/>
    <n v="4"/>
    <n v="1"/>
    <x v="3"/>
    <n v="9"/>
    <s v="46+"/>
    <s v="Medium"/>
    <s v="Medium"/>
    <s v="High"/>
  </r>
  <r>
    <s v="U051"/>
    <n v="25"/>
    <x v="2"/>
    <n v="2"/>
    <n v="9"/>
    <n v="4"/>
    <n v="5"/>
    <n v="3"/>
    <x v="4"/>
    <n v="10"/>
    <s v="15–25"/>
    <s v="Low"/>
    <s v="Low"/>
    <s v="High"/>
  </r>
  <r>
    <s v="U052"/>
    <n v="29"/>
    <x v="2"/>
    <n v="3.3"/>
    <n v="7"/>
    <n v="5"/>
    <n v="1"/>
    <n v="2"/>
    <x v="2"/>
    <n v="10"/>
    <s v="26–35"/>
    <s v="Medium"/>
    <s v="Medium"/>
    <s v="High"/>
  </r>
  <r>
    <s v="U053"/>
    <n v="46"/>
    <x v="2"/>
    <n v="3.6"/>
    <n v="7"/>
    <n v="5"/>
    <n v="3"/>
    <n v="3"/>
    <x v="2"/>
    <n v="10"/>
    <s v="46+"/>
    <s v="Medium"/>
    <s v="Medium"/>
    <s v="High"/>
  </r>
  <r>
    <s v="U054"/>
    <n v="30"/>
    <x v="2"/>
    <n v="6.7"/>
    <n v="6"/>
    <n v="8"/>
    <n v="6"/>
    <n v="2"/>
    <x v="3"/>
    <n v="7"/>
    <s v="26–35"/>
    <s v="High"/>
    <s v="High"/>
    <s v="Normal"/>
  </r>
  <r>
    <s v="U055"/>
    <n v="23"/>
    <x v="2"/>
    <n v="5.2"/>
    <n v="6"/>
    <n v="6"/>
    <n v="7"/>
    <n v="3"/>
    <x v="2"/>
    <n v="8"/>
    <s v="15–25"/>
    <s v="Medium"/>
    <s v="Medium"/>
    <s v="High"/>
  </r>
  <r>
    <s v="U056"/>
    <n v="29"/>
    <x v="2"/>
    <n v="4"/>
    <n v="7"/>
    <n v="3"/>
    <n v="3"/>
    <n v="3"/>
    <x v="3"/>
    <n v="10"/>
    <s v="26–35"/>
    <s v="Medium"/>
    <s v="Low"/>
    <s v="High"/>
  </r>
  <r>
    <s v="U057"/>
    <n v="38"/>
    <x v="2"/>
    <n v="9.6999999999999993"/>
    <n v="3"/>
    <n v="9"/>
    <n v="3"/>
    <n v="2"/>
    <x v="0"/>
    <n v="4"/>
    <s v="36–45"/>
    <s v="High"/>
    <s v="High"/>
    <s v="Low"/>
  </r>
  <r>
    <s v="U058"/>
    <n v="36"/>
    <x v="2"/>
    <n v="4.3"/>
    <n v="7"/>
    <n v="6"/>
    <n v="4"/>
    <n v="1"/>
    <x v="4"/>
    <n v="9"/>
    <s v="36–45"/>
    <s v="Medium"/>
    <s v="Medium"/>
    <s v="High"/>
  </r>
  <r>
    <s v="U059"/>
    <n v="31"/>
    <x v="0"/>
    <n v="7.6"/>
    <n v="5"/>
    <n v="10"/>
    <n v="3"/>
    <n v="2"/>
    <x v="5"/>
    <n v="6"/>
    <s v="26–35"/>
    <s v="High"/>
    <s v="High"/>
    <s v="Normal"/>
  </r>
  <r>
    <s v="U060"/>
    <n v="33"/>
    <x v="0"/>
    <n v="8.4"/>
    <n v="4"/>
    <n v="8"/>
    <n v="6"/>
    <n v="4"/>
    <x v="4"/>
    <n v="7"/>
    <s v="26–35"/>
    <s v="High"/>
    <s v="High"/>
    <s v="Normal"/>
  </r>
  <r>
    <s v="U061"/>
    <n v="39"/>
    <x v="0"/>
    <n v="2.7"/>
    <n v="9"/>
    <n v="5"/>
    <n v="1"/>
    <n v="3"/>
    <x v="3"/>
    <n v="10"/>
    <s v="36–45"/>
    <s v="Low"/>
    <s v="Medium"/>
    <s v="High"/>
  </r>
  <r>
    <s v="U062"/>
    <n v="41"/>
    <x v="2"/>
    <n v="5.6"/>
    <n v="6"/>
    <n v="7"/>
    <n v="2"/>
    <n v="1"/>
    <x v="3"/>
    <n v="9"/>
    <s v="36–45"/>
    <s v="Medium"/>
    <s v="Medium"/>
    <s v="High"/>
  </r>
  <r>
    <s v="U063"/>
    <n v="40"/>
    <x v="2"/>
    <n v="4.5999999999999996"/>
    <n v="7"/>
    <n v="7"/>
    <n v="1"/>
    <n v="3"/>
    <x v="4"/>
    <n v="10"/>
    <s v="36–45"/>
    <s v="Medium"/>
    <s v="Medium"/>
    <s v="High"/>
  </r>
  <r>
    <s v="U064"/>
    <n v="44"/>
    <x v="2"/>
    <n v="4.4000000000000004"/>
    <n v="6"/>
    <n v="7"/>
    <n v="1"/>
    <n v="3"/>
    <x v="1"/>
    <n v="9"/>
    <s v="36–45"/>
    <s v="Medium"/>
    <s v="Medium"/>
    <s v="High"/>
  </r>
  <r>
    <s v="U065"/>
    <n v="30"/>
    <x v="0"/>
    <n v="6.5"/>
    <n v="4"/>
    <n v="9"/>
    <n v="4"/>
    <n v="3"/>
    <x v="3"/>
    <n v="5"/>
    <s v="26–35"/>
    <s v="High"/>
    <s v="High"/>
    <s v="Normal"/>
  </r>
  <r>
    <s v="U066"/>
    <n v="16"/>
    <x v="0"/>
    <n v="4.4000000000000004"/>
    <n v="8"/>
    <n v="4"/>
    <n v="5"/>
    <n v="1"/>
    <x v="2"/>
    <n v="10"/>
    <s v="15–25"/>
    <s v="Medium"/>
    <s v="Low"/>
    <s v="High"/>
  </r>
  <r>
    <s v="U067"/>
    <n v="40"/>
    <x v="0"/>
    <n v="4.5999999999999996"/>
    <n v="7"/>
    <n v="6"/>
    <n v="2"/>
    <n v="1"/>
    <x v="2"/>
    <n v="10"/>
    <s v="36–45"/>
    <s v="Medium"/>
    <s v="Medium"/>
    <s v="High"/>
  </r>
  <r>
    <s v="U068"/>
    <n v="22"/>
    <x v="0"/>
    <n v="5.2"/>
    <n v="9"/>
    <n v="7"/>
    <n v="5"/>
    <n v="1"/>
    <x v="3"/>
    <n v="10"/>
    <s v="15–25"/>
    <s v="Medium"/>
    <s v="Medium"/>
    <s v="High"/>
  </r>
  <r>
    <s v="U069"/>
    <n v="24"/>
    <x v="2"/>
    <n v="4.8"/>
    <n v="6"/>
    <n v="7"/>
    <n v="5"/>
    <n v="2"/>
    <x v="3"/>
    <n v="7"/>
    <s v="15–25"/>
    <s v="Medium"/>
    <s v="Medium"/>
    <s v="Normal"/>
  </r>
  <r>
    <s v="U070"/>
    <n v="39"/>
    <x v="0"/>
    <n v="3.4"/>
    <n v="8"/>
    <n v="6"/>
    <n v="7"/>
    <n v="3"/>
    <x v="1"/>
    <n v="10"/>
    <s v="36–45"/>
    <s v="Medium"/>
    <s v="Medium"/>
    <s v="High"/>
  </r>
  <r>
    <s v="U071"/>
    <n v="16"/>
    <x v="0"/>
    <n v="6.9"/>
    <n v="5"/>
    <n v="8"/>
    <n v="3"/>
    <n v="3"/>
    <x v="2"/>
    <n v="5"/>
    <s v="15–25"/>
    <s v="High"/>
    <s v="High"/>
    <s v="Normal"/>
  </r>
  <r>
    <s v="U072"/>
    <n v="23"/>
    <x v="2"/>
    <n v="7.4"/>
    <n v="6"/>
    <n v="7"/>
    <n v="2"/>
    <n v="3"/>
    <x v="3"/>
    <n v="8"/>
    <s v="15–25"/>
    <s v="High"/>
    <s v="Medium"/>
    <s v="High"/>
  </r>
  <r>
    <s v="U073"/>
    <n v="39"/>
    <x v="0"/>
    <n v="6.1"/>
    <n v="5"/>
    <n v="5"/>
    <n v="1"/>
    <n v="5"/>
    <x v="3"/>
    <n v="10"/>
    <s v="36–45"/>
    <s v="High"/>
    <s v="Medium"/>
    <s v="High"/>
  </r>
  <r>
    <s v="U074"/>
    <n v="26"/>
    <x v="2"/>
    <n v="4.8"/>
    <n v="6"/>
    <n v="6"/>
    <n v="1"/>
    <n v="4"/>
    <x v="1"/>
    <n v="8"/>
    <s v="26–35"/>
    <s v="Medium"/>
    <s v="Medium"/>
    <s v="High"/>
  </r>
  <r>
    <s v="U075"/>
    <n v="32"/>
    <x v="2"/>
    <n v="4.2"/>
    <n v="8"/>
    <n v="8"/>
    <n v="5"/>
    <n v="2"/>
    <x v="1"/>
    <n v="8"/>
    <s v="26–35"/>
    <s v="Medium"/>
    <s v="High"/>
    <s v="High"/>
  </r>
  <r>
    <s v="U076"/>
    <n v="23"/>
    <x v="0"/>
    <n v="4.2"/>
    <n v="7"/>
    <n v="5"/>
    <n v="0"/>
    <n v="1"/>
    <x v="4"/>
    <n v="10"/>
    <s v="15–25"/>
    <s v="Medium"/>
    <s v="Medium"/>
    <s v="High"/>
  </r>
  <r>
    <s v="U077"/>
    <n v="48"/>
    <x v="2"/>
    <n v="9.6999999999999993"/>
    <n v="4"/>
    <n v="8"/>
    <n v="5"/>
    <n v="1"/>
    <x v="1"/>
    <n v="5"/>
    <s v="46+"/>
    <s v="High"/>
    <s v="High"/>
    <s v="Normal"/>
  </r>
  <r>
    <s v="U078"/>
    <n v="20"/>
    <x v="2"/>
    <n v="7.2"/>
    <n v="6"/>
    <n v="9"/>
    <n v="1"/>
    <n v="2"/>
    <x v="5"/>
    <n v="6"/>
    <s v="15–25"/>
    <s v="High"/>
    <s v="High"/>
    <s v="Normal"/>
  </r>
  <r>
    <s v="U079"/>
    <n v="43"/>
    <x v="1"/>
    <n v="4"/>
    <n v="7"/>
    <n v="7"/>
    <n v="2"/>
    <n v="4"/>
    <x v="2"/>
    <n v="9"/>
    <s v="36–45"/>
    <s v="Medium"/>
    <s v="Medium"/>
    <s v="High"/>
  </r>
  <r>
    <s v="U080"/>
    <n v="22"/>
    <x v="0"/>
    <n v="5.8"/>
    <n v="6"/>
    <n v="8"/>
    <n v="3"/>
    <n v="2"/>
    <x v="4"/>
    <n v="7"/>
    <s v="15–25"/>
    <s v="Medium"/>
    <s v="High"/>
    <s v="Normal"/>
  </r>
  <r>
    <s v="U081"/>
    <n v="24"/>
    <x v="2"/>
    <n v="4.8"/>
    <n v="6"/>
    <n v="7"/>
    <n v="2"/>
    <n v="2"/>
    <x v="5"/>
    <n v="8"/>
    <s v="15–25"/>
    <s v="Medium"/>
    <s v="Medium"/>
    <s v="High"/>
  </r>
  <r>
    <s v="U082"/>
    <n v="23"/>
    <x v="2"/>
    <n v="6.6"/>
    <n v="6"/>
    <n v="8"/>
    <n v="5"/>
    <n v="1"/>
    <x v="3"/>
    <n v="8"/>
    <s v="15–25"/>
    <s v="High"/>
    <s v="High"/>
    <s v="High"/>
  </r>
  <r>
    <s v="U083"/>
    <n v="27"/>
    <x v="0"/>
    <n v="6.5"/>
    <n v="7"/>
    <n v="9"/>
    <n v="7"/>
    <n v="2"/>
    <x v="3"/>
    <n v="8"/>
    <s v="26–35"/>
    <s v="High"/>
    <s v="High"/>
    <s v="High"/>
  </r>
  <r>
    <s v="U084"/>
    <n v="49"/>
    <x v="0"/>
    <n v="7.5"/>
    <n v="4"/>
    <n v="7"/>
    <n v="2"/>
    <n v="4"/>
    <x v="4"/>
    <n v="8"/>
    <s v="46+"/>
    <s v="High"/>
    <s v="Medium"/>
    <s v="High"/>
  </r>
  <r>
    <s v="U085"/>
    <n v="48"/>
    <x v="1"/>
    <n v="4"/>
    <n v="7"/>
    <n v="5"/>
    <n v="2"/>
    <n v="5"/>
    <x v="1"/>
    <n v="10"/>
    <s v="46+"/>
    <s v="Medium"/>
    <s v="Medium"/>
    <s v="High"/>
  </r>
  <r>
    <s v="U086"/>
    <n v="38"/>
    <x v="2"/>
    <n v="5.7"/>
    <n v="5"/>
    <n v="6"/>
    <n v="3"/>
    <n v="2"/>
    <x v="3"/>
    <n v="9"/>
    <s v="36–45"/>
    <s v="Medium"/>
    <s v="Medium"/>
    <s v="High"/>
  </r>
  <r>
    <s v="U087"/>
    <n v="39"/>
    <x v="0"/>
    <n v="2.4"/>
    <n v="7"/>
    <n v="4"/>
    <n v="4"/>
    <n v="2"/>
    <x v="0"/>
    <n v="10"/>
    <s v="36–45"/>
    <s v="Low"/>
    <s v="Low"/>
    <s v="High"/>
  </r>
  <r>
    <s v="U088"/>
    <n v="37"/>
    <x v="2"/>
    <n v="3.2"/>
    <n v="8"/>
    <n v="7"/>
    <n v="3"/>
    <n v="1"/>
    <x v="4"/>
    <n v="10"/>
    <s v="36–45"/>
    <s v="Medium"/>
    <s v="Medium"/>
    <s v="High"/>
  </r>
  <r>
    <s v="U089"/>
    <n v="42"/>
    <x v="0"/>
    <n v="7.1"/>
    <n v="3"/>
    <n v="8"/>
    <n v="6"/>
    <n v="5"/>
    <x v="5"/>
    <n v="6"/>
    <s v="36–45"/>
    <s v="High"/>
    <s v="High"/>
    <s v="Normal"/>
  </r>
  <r>
    <s v="U090"/>
    <n v="16"/>
    <x v="0"/>
    <n v="3.8"/>
    <n v="10"/>
    <n v="6"/>
    <n v="5"/>
    <n v="0"/>
    <x v="4"/>
    <n v="10"/>
    <s v="15–25"/>
    <s v="Medium"/>
    <s v="Medium"/>
    <s v="High"/>
  </r>
  <r>
    <s v="U091"/>
    <n v="29"/>
    <x v="0"/>
    <n v="4"/>
    <n v="6"/>
    <n v="4"/>
    <n v="1"/>
    <n v="4"/>
    <x v="2"/>
    <n v="9"/>
    <s v="26–35"/>
    <s v="Medium"/>
    <s v="Low"/>
    <s v="High"/>
  </r>
  <r>
    <s v="U092"/>
    <n v="18"/>
    <x v="0"/>
    <n v="5.5"/>
    <n v="6"/>
    <n v="6"/>
    <n v="4"/>
    <n v="2"/>
    <x v="1"/>
    <n v="9"/>
    <s v="15–25"/>
    <s v="Medium"/>
    <s v="Medium"/>
    <s v="High"/>
  </r>
  <r>
    <s v="U093"/>
    <n v="16"/>
    <x v="0"/>
    <n v="6.8"/>
    <n v="7"/>
    <n v="6"/>
    <n v="6"/>
    <n v="2"/>
    <x v="1"/>
    <n v="9"/>
    <s v="15–25"/>
    <s v="High"/>
    <s v="Medium"/>
    <s v="High"/>
  </r>
  <r>
    <s v="U094"/>
    <n v="20"/>
    <x v="0"/>
    <n v="3.6"/>
    <n v="7"/>
    <n v="7"/>
    <n v="2"/>
    <n v="1"/>
    <x v="4"/>
    <n v="8"/>
    <s v="15–25"/>
    <s v="Medium"/>
    <s v="Medium"/>
    <s v="High"/>
  </r>
  <r>
    <s v="U095"/>
    <n v="41"/>
    <x v="2"/>
    <n v="1"/>
    <n v="7"/>
    <n v="5"/>
    <n v="2"/>
    <n v="6"/>
    <x v="3"/>
    <n v="10"/>
    <s v="36–45"/>
    <s v="Low"/>
    <s v="Medium"/>
    <s v="High"/>
  </r>
  <r>
    <s v="U096"/>
    <n v="29"/>
    <x v="0"/>
    <n v="3.9"/>
    <n v="7"/>
    <n v="6"/>
    <n v="2"/>
    <n v="3"/>
    <x v="3"/>
    <n v="10"/>
    <s v="26–35"/>
    <s v="Medium"/>
    <s v="Medium"/>
    <s v="High"/>
  </r>
  <r>
    <s v="U097"/>
    <n v="42"/>
    <x v="0"/>
    <n v="7.7"/>
    <n v="4"/>
    <n v="7"/>
    <n v="2"/>
    <n v="3"/>
    <x v="0"/>
    <n v="8"/>
    <s v="36–45"/>
    <s v="High"/>
    <s v="Medium"/>
    <s v="High"/>
  </r>
  <r>
    <s v="U098"/>
    <n v="24"/>
    <x v="2"/>
    <n v="6.1"/>
    <n v="4"/>
    <n v="9"/>
    <n v="0"/>
    <n v="4"/>
    <x v="0"/>
    <n v="6"/>
    <s v="15–25"/>
    <s v="High"/>
    <s v="High"/>
    <s v="Normal"/>
  </r>
  <r>
    <s v="U099"/>
    <n v="30"/>
    <x v="2"/>
    <n v="7.9"/>
    <n v="5"/>
    <n v="8"/>
    <n v="0"/>
    <n v="2"/>
    <x v="1"/>
    <n v="8"/>
    <s v="26–35"/>
    <s v="High"/>
    <s v="High"/>
    <s v="High"/>
  </r>
  <r>
    <s v="U100"/>
    <n v="30"/>
    <x v="2"/>
    <n v="3.5"/>
    <n v="8"/>
    <n v="4"/>
    <n v="3"/>
    <n v="3"/>
    <x v="0"/>
    <n v="10"/>
    <s v="26–35"/>
    <s v="Medium"/>
    <s v="Low"/>
    <s v="High"/>
  </r>
  <r>
    <s v="U101"/>
    <n v="41"/>
    <x v="0"/>
    <n v="2.5"/>
    <n v="9"/>
    <n v="4"/>
    <n v="6"/>
    <n v="3"/>
    <x v="5"/>
    <n v="10"/>
    <s v="36–45"/>
    <s v="Low"/>
    <s v="Low"/>
    <s v="High"/>
  </r>
  <r>
    <s v="U102"/>
    <n v="28"/>
    <x v="0"/>
    <n v="6.3"/>
    <n v="5"/>
    <n v="7"/>
    <n v="2"/>
    <n v="2"/>
    <x v="0"/>
    <n v="7"/>
    <s v="26–35"/>
    <s v="High"/>
    <s v="Medium"/>
    <s v="Normal"/>
  </r>
  <r>
    <s v="U103"/>
    <n v="47"/>
    <x v="0"/>
    <n v="5.9"/>
    <n v="4"/>
    <n v="7"/>
    <n v="2"/>
    <n v="4"/>
    <x v="5"/>
    <n v="7"/>
    <s v="46+"/>
    <s v="Medium"/>
    <s v="Medium"/>
    <s v="Normal"/>
  </r>
  <r>
    <s v="U104"/>
    <n v="47"/>
    <x v="0"/>
    <n v="6"/>
    <n v="6"/>
    <n v="7"/>
    <n v="6"/>
    <n v="2"/>
    <x v="0"/>
    <n v="9"/>
    <s v="46+"/>
    <s v="Medium"/>
    <s v="Medium"/>
    <s v="High"/>
  </r>
  <r>
    <s v="U105"/>
    <n v="19"/>
    <x v="0"/>
    <n v="7.2"/>
    <n v="5"/>
    <n v="6"/>
    <n v="1"/>
    <n v="0"/>
    <x v="1"/>
    <n v="9"/>
    <s v="15–25"/>
    <s v="High"/>
    <s v="Medium"/>
    <s v="High"/>
  </r>
  <r>
    <s v="U106"/>
    <n v="45"/>
    <x v="0"/>
    <n v="6.3"/>
    <n v="7"/>
    <n v="8"/>
    <n v="0"/>
    <n v="2"/>
    <x v="1"/>
    <n v="6"/>
    <s v="36–45"/>
    <s v="High"/>
    <s v="High"/>
    <s v="Normal"/>
  </r>
  <r>
    <s v="U107"/>
    <n v="38"/>
    <x v="0"/>
    <n v="6.2"/>
    <n v="7"/>
    <n v="7"/>
    <n v="1"/>
    <n v="3"/>
    <x v="5"/>
    <n v="9"/>
    <s v="36–45"/>
    <s v="High"/>
    <s v="Medium"/>
    <s v="High"/>
  </r>
  <r>
    <s v="U108"/>
    <n v="30"/>
    <x v="0"/>
    <n v="6.8"/>
    <n v="7"/>
    <n v="7"/>
    <n v="2"/>
    <n v="1"/>
    <x v="4"/>
    <n v="10"/>
    <s v="26–35"/>
    <s v="High"/>
    <s v="Medium"/>
    <s v="High"/>
  </r>
  <r>
    <s v="U109"/>
    <n v="44"/>
    <x v="0"/>
    <n v="6.4"/>
    <n v="6"/>
    <n v="8"/>
    <n v="0"/>
    <n v="1"/>
    <x v="1"/>
    <n v="7"/>
    <s v="36–45"/>
    <s v="High"/>
    <s v="High"/>
    <s v="Normal"/>
  </r>
  <r>
    <s v="U110"/>
    <n v="28"/>
    <x v="0"/>
    <n v="7"/>
    <n v="6"/>
    <n v="6"/>
    <n v="3"/>
    <n v="2"/>
    <x v="4"/>
    <n v="8"/>
    <s v="26–35"/>
    <s v="High"/>
    <s v="Medium"/>
    <s v="High"/>
  </r>
  <r>
    <s v="U111"/>
    <n v="47"/>
    <x v="0"/>
    <n v="7.3"/>
    <n v="4"/>
    <n v="6"/>
    <n v="5"/>
    <n v="4"/>
    <x v="3"/>
    <n v="8"/>
    <s v="46+"/>
    <s v="High"/>
    <s v="Medium"/>
    <s v="High"/>
  </r>
  <r>
    <s v="U112"/>
    <n v="22"/>
    <x v="2"/>
    <n v="8.3000000000000007"/>
    <n v="5"/>
    <n v="10"/>
    <n v="0"/>
    <n v="2"/>
    <x v="5"/>
    <n v="6"/>
    <s v="15–25"/>
    <s v="High"/>
    <s v="High"/>
    <s v="Normal"/>
  </r>
  <r>
    <s v="U113"/>
    <n v="37"/>
    <x v="2"/>
    <n v="4.3"/>
    <n v="6"/>
    <n v="8"/>
    <n v="3"/>
    <n v="5"/>
    <x v="1"/>
    <n v="9"/>
    <s v="36–45"/>
    <s v="Medium"/>
    <s v="High"/>
    <s v="High"/>
  </r>
  <r>
    <s v="U114"/>
    <n v="43"/>
    <x v="0"/>
    <n v="6.4"/>
    <n v="6"/>
    <n v="7"/>
    <n v="4"/>
    <n v="2"/>
    <x v="2"/>
    <n v="7"/>
    <s v="36–45"/>
    <s v="High"/>
    <s v="Medium"/>
    <s v="Normal"/>
  </r>
  <r>
    <s v="U115"/>
    <n v="17"/>
    <x v="2"/>
    <n v="4.8"/>
    <n v="7"/>
    <n v="6"/>
    <n v="3"/>
    <n v="3"/>
    <x v="3"/>
    <n v="10"/>
    <s v="15–25"/>
    <s v="Medium"/>
    <s v="Medium"/>
    <s v="High"/>
  </r>
  <r>
    <s v="U116"/>
    <n v="21"/>
    <x v="2"/>
    <n v="4"/>
    <n v="9"/>
    <n v="5"/>
    <n v="3"/>
    <n v="2"/>
    <x v="4"/>
    <n v="10"/>
    <s v="15–25"/>
    <s v="Medium"/>
    <s v="Medium"/>
    <s v="High"/>
  </r>
  <r>
    <s v="U117"/>
    <n v="43"/>
    <x v="0"/>
    <n v="4.3"/>
    <n v="7"/>
    <n v="6"/>
    <n v="3"/>
    <n v="4"/>
    <x v="1"/>
    <n v="9"/>
    <s v="36–45"/>
    <s v="Medium"/>
    <s v="Medium"/>
    <s v="High"/>
  </r>
  <r>
    <s v="U118"/>
    <n v="43"/>
    <x v="2"/>
    <n v="6.4"/>
    <n v="6"/>
    <n v="7"/>
    <n v="1"/>
    <n v="1"/>
    <x v="5"/>
    <n v="9"/>
    <s v="36–45"/>
    <s v="High"/>
    <s v="Medium"/>
    <s v="High"/>
  </r>
  <r>
    <s v="U119"/>
    <n v="35"/>
    <x v="2"/>
    <n v="6.3"/>
    <n v="6"/>
    <n v="7"/>
    <n v="6"/>
    <n v="4"/>
    <x v="0"/>
    <n v="9"/>
    <s v="26–35"/>
    <s v="High"/>
    <s v="Medium"/>
    <s v="High"/>
  </r>
  <r>
    <s v="U120"/>
    <n v="45"/>
    <x v="0"/>
    <n v="6.2"/>
    <n v="5"/>
    <n v="8"/>
    <n v="5"/>
    <n v="3"/>
    <x v="2"/>
    <n v="8"/>
    <s v="36–45"/>
    <s v="High"/>
    <s v="High"/>
    <s v="High"/>
  </r>
  <r>
    <s v="U121"/>
    <n v="26"/>
    <x v="0"/>
    <n v="5.0999999999999996"/>
    <n v="6"/>
    <n v="5"/>
    <n v="5"/>
    <n v="2"/>
    <x v="4"/>
    <n v="9"/>
    <s v="26–35"/>
    <s v="Medium"/>
    <s v="Medium"/>
    <s v="High"/>
  </r>
  <r>
    <s v="U122"/>
    <n v="43"/>
    <x v="2"/>
    <n v="5.5"/>
    <n v="8"/>
    <n v="6"/>
    <n v="5"/>
    <n v="2"/>
    <x v="3"/>
    <n v="10"/>
    <s v="36–45"/>
    <s v="Medium"/>
    <s v="Medium"/>
    <s v="High"/>
  </r>
  <r>
    <s v="U123"/>
    <n v="40"/>
    <x v="2"/>
    <n v="7"/>
    <n v="4"/>
    <n v="6"/>
    <n v="0"/>
    <n v="5"/>
    <x v="5"/>
    <n v="8"/>
    <s v="36–45"/>
    <s v="High"/>
    <s v="Medium"/>
    <s v="High"/>
  </r>
  <r>
    <s v="U124"/>
    <n v="48"/>
    <x v="0"/>
    <n v="2.8"/>
    <n v="7"/>
    <n v="5"/>
    <n v="5"/>
    <n v="3"/>
    <x v="2"/>
    <n v="10"/>
    <s v="46+"/>
    <s v="Low"/>
    <s v="Medium"/>
    <s v="High"/>
  </r>
  <r>
    <s v="U125"/>
    <n v="16"/>
    <x v="0"/>
    <n v="5.5"/>
    <n v="7"/>
    <n v="7"/>
    <n v="4"/>
    <n v="1"/>
    <x v="5"/>
    <n v="9"/>
    <s v="15–25"/>
    <s v="Medium"/>
    <s v="Medium"/>
    <s v="High"/>
  </r>
  <r>
    <s v="U126"/>
    <n v="42"/>
    <x v="0"/>
    <n v="5.7"/>
    <n v="7"/>
    <n v="7"/>
    <n v="0"/>
    <n v="1"/>
    <x v="1"/>
    <n v="9"/>
    <s v="36–45"/>
    <s v="Medium"/>
    <s v="Medium"/>
    <s v="High"/>
  </r>
  <r>
    <s v="U127"/>
    <n v="28"/>
    <x v="2"/>
    <n v="6.9"/>
    <n v="5"/>
    <n v="8"/>
    <n v="3"/>
    <n v="3"/>
    <x v="0"/>
    <n v="8"/>
    <s v="26–35"/>
    <s v="High"/>
    <s v="High"/>
    <s v="High"/>
  </r>
  <r>
    <s v="U128"/>
    <n v="18"/>
    <x v="2"/>
    <n v="3.1"/>
    <n v="7"/>
    <n v="6"/>
    <n v="4"/>
    <n v="3"/>
    <x v="3"/>
    <n v="9"/>
    <s v="15–25"/>
    <s v="Medium"/>
    <s v="Medium"/>
    <s v="High"/>
  </r>
  <r>
    <s v="U129"/>
    <n v="21"/>
    <x v="0"/>
    <n v="8.1999999999999993"/>
    <n v="5"/>
    <n v="7"/>
    <n v="6"/>
    <n v="4"/>
    <x v="5"/>
    <n v="7"/>
    <s v="15–25"/>
    <s v="High"/>
    <s v="Medium"/>
    <s v="Normal"/>
  </r>
  <r>
    <s v="U130"/>
    <n v="23"/>
    <x v="0"/>
    <n v="5.9"/>
    <n v="5"/>
    <n v="5"/>
    <n v="4"/>
    <n v="0"/>
    <x v="4"/>
    <n v="9"/>
    <s v="15–25"/>
    <s v="Medium"/>
    <s v="Medium"/>
    <s v="High"/>
  </r>
  <r>
    <s v="U131"/>
    <n v="42"/>
    <x v="2"/>
    <n v="6"/>
    <n v="5"/>
    <n v="8"/>
    <n v="1"/>
    <n v="1"/>
    <x v="1"/>
    <n v="7"/>
    <s v="36–45"/>
    <s v="Medium"/>
    <s v="High"/>
    <s v="Normal"/>
  </r>
  <r>
    <s v="U132"/>
    <n v="24"/>
    <x v="0"/>
    <n v="4.8"/>
    <n v="8"/>
    <n v="4"/>
    <n v="6"/>
    <n v="4"/>
    <x v="1"/>
    <n v="10"/>
    <s v="15–25"/>
    <s v="Medium"/>
    <s v="Low"/>
    <s v="High"/>
  </r>
  <r>
    <s v="U133"/>
    <n v="48"/>
    <x v="0"/>
    <n v="6.5"/>
    <n v="6"/>
    <n v="8"/>
    <n v="3"/>
    <n v="3"/>
    <x v="3"/>
    <n v="8"/>
    <s v="46+"/>
    <s v="High"/>
    <s v="High"/>
    <s v="High"/>
  </r>
  <r>
    <s v="U134"/>
    <n v="39"/>
    <x v="2"/>
    <n v="5.6"/>
    <n v="8"/>
    <n v="6"/>
    <n v="2"/>
    <n v="3"/>
    <x v="1"/>
    <n v="9"/>
    <s v="36–45"/>
    <s v="Medium"/>
    <s v="Medium"/>
    <s v="High"/>
  </r>
  <r>
    <s v="U135"/>
    <n v="30"/>
    <x v="2"/>
    <n v="7.7"/>
    <n v="4"/>
    <n v="10"/>
    <n v="2"/>
    <n v="1"/>
    <x v="4"/>
    <n v="8"/>
    <s v="26–35"/>
    <s v="High"/>
    <s v="High"/>
    <s v="High"/>
  </r>
  <r>
    <s v="U136"/>
    <n v="47"/>
    <x v="2"/>
    <n v="2.9"/>
    <n v="8"/>
    <n v="5"/>
    <n v="0"/>
    <n v="1"/>
    <x v="5"/>
    <n v="10"/>
    <s v="46+"/>
    <s v="Low"/>
    <s v="Medium"/>
    <s v="High"/>
  </r>
  <r>
    <s v="U137"/>
    <n v="47"/>
    <x v="2"/>
    <n v="5.8"/>
    <n v="6"/>
    <n v="7"/>
    <n v="3"/>
    <n v="4"/>
    <x v="3"/>
    <n v="10"/>
    <s v="46+"/>
    <s v="Medium"/>
    <s v="Medium"/>
    <s v="High"/>
  </r>
  <r>
    <s v="U138"/>
    <n v="39"/>
    <x v="0"/>
    <n v="6.2"/>
    <n v="5"/>
    <n v="8"/>
    <n v="4"/>
    <n v="4"/>
    <x v="1"/>
    <n v="7"/>
    <s v="36–45"/>
    <s v="High"/>
    <s v="High"/>
    <s v="Normal"/>
  </r>
  <r>
    <s v="U139"/>
    <n v="27"/>
    <x v="0"/>
    <n v="5.2"/>
    <n v="7"/>
    <n v="5"/>
    <n v="2"/>
    <n v="1"/>
    <x v="1"/>
    <n v="10"/>
    <s v="26–35"/>
    <s v="Medium"/>
    <s v="Medium"/>
    <s v="High"/>
  </r>
  <r>
    <s v="U140"/>
    <n v="17"/>
    <x v="2"/>
    <n v="4.8"/>
    <n v="8"/>
    <n v="5"/>
    <n v="4"/>
    <n v="1"/>
    <x v="4"/>
    <n v="10"/>
    <s v="15–25"/>
    <s v="Medium"/>
    <s v="Medium"/>
    <s v="High"/>
  </r>
  <r>
    <s v="U141"/>
    <n v="18"/>
    <x v="0"/>
    <n v="4.8"/>
    <n v="6"/>
    <n v="5"/>
    <n v="1"/>
    <n v="2"/>
    <x v="0"/>
    <n v="10"/>
    <s v="15–25"/>
    <s v="Medium"/>
    <s v="Medium"/>
    <s v="High"/>
  </r>
  <r>
    <s v="U142"/>
    <n v="32"/>
    <x v="0"/>
    <n v="5.8"/>
    <n v="6"/>
    <n v="6"/>
    <n v="3"/>
    <n v="1"/>
    <x v="0"/>
    <n v="10"/>
    <s v="26–35"/>
    <s v="Medium"/>
    <s v="Medium"/>
    <s v="High"/>
  </r>
  <r>
    <s v="U143"/>
    <n v="17"/>
    <x v="0"/>
    <n v="2.2000000000000002"/>
    <n v="10"/>
    <n v="5"/>
    <n v="4"/>
    <n v="1"/>
    <x v="1"/>
    <n v="10"/>
    <s v="15–25"/>
    <s v="Low"/>
    <s v="Medium"/>
    <s v="High"/>
  </r>
  <r>
    <s v="U144"/>
    <n v="17"/>
    <x v="0"/>
    <n v="7.2"/>
    <n v="7"/>
    <n v="8"/>
    <n v="3"/>
    <n v="1"/>
    <x v="5"/>
    <n v="8"/>
    <s v="15–25"/>
    <s v="High"/>
    <s v="High"/>
    <s v="High"/>
  </r>
  <r>
    <s v="U145"/>
    <n v="43"/>
    <x v="0"/>
    <n v="4.5999999999999996"/>
    <n v="8"/>
    <n v="7"/>
    <n v="0"/>
    <n v="2"/>
    <x v="3"/>
    <n v="9"/>
    <s v="36–45"/>
    <s v="Medium"/>
    <s v="Medium"/>
    <s v="High"/>
  </r>
  <r>
    <s v="U146"/>
    <n v="38"/>
    <x v="0"/>
    <n v="5.7"/>
    <n v="7"/>
    <n v="5"/>
    <n v="2"/>
    <n v="1"/>
    <x v="1"/>
    <n v="10"/>
    <s v="36–45"/>
    <s v="Medium"/>
    <s v="Medium"/>
    <s v="High"/>
  </r>
  <r>
    <s v="U147"/>
    <n v="47"/>
    <x v="0"/>
    <n v="6.2"/>
    <n v="5"/>
    <n v="7"/>
    <n v="6"/>
    <n v="1"/>
    <x v="2"/>
    <n v="9"/>
    <s v="46+"/>
    <s v="High"/>
    <s v="Medium"/>
    <s v="High"/>
  </r>
  <r>
    <s v="U148"/>
    <n v="48"/>
    <x v="0"/>
    <n v="4.5999999999999996"/>
    <n v="7"/>
    <n v="5"/>
    <n v="2"/>
    <n v="3"/>
    <x v="3"/>
    <n v="10"/>
    <s v="46+"/>
    <s v="Medium"/>
    <s v="Medium"/>
    <s v="High"/>
  </r>
  <r>
    <s v="U149"/>
    <n v="16"/>
    <x v="2"/>
    <n v="5.3"/>
    <n v="7"/>
    <n v="6"/>
    <n v="3"/>
    <n v="2"/>
    <x v="0"/>
    <n v="10"/>
    <s v="15–25"/>
    <s v="Medium"/>
    <s v="Medium"/>
    <s v="High"/>
  </r>
  <r>
    <s v="U150"/>
    <n v="34"/>
    <x v="2"/>
    <n v="1.8"/>
    <n v="9"/>
    <n v="7"/>
    <n v="3"/>
    <n v="3"/>
    <x v="1"/>
    <n v="10"/>
    <s v="26–35"/>
    <s v="Low"/>
    <s v="Medium"/>
    <s v="High"/>
  </r>
  <r>
    <s v="U151"/>
    <n v="17"/>
    <x v="2"/>
    <n v="6.8"/>
    <n v="5"/>
    <n v="8"/>
    <n v="6"/>
    <n v="0"/>
    <x v="4"/>
    <n v="6"/>
    <s v="15–25"/>
    <s v="High"/>
    <s v="High"/>
    <s v="Normal"/>
  </r>
  <r>
    <s v="U152"/>
    <n v="41"/>
    <x v="2"/>
    <n v="7.4"/>
    <n v="4"/>
    <n v="9"/>
    <n v="6"/>
    <n v="3"/>
    <x v="2"/>
    <n v="5"/>
    <s v="36–45"/>
    <s v="High"/>
    <s v="High"/>
    <s v="Normal"/>
  </r>
  <r>
    <s v="U153"/>
    <n v="47"/>
    <x v="2"/>
    <n v="2.4"/>
    <n v="7"/>
    <n v="7"/>
    <n v="5"/>
    <n v="6"/>
    <x v="1"/>
    <n v="9"/>
    <s v="46+"/>
    <s v="Low"/>
    <s v="Medium"/>
    <s v="High"/>
  </r>
  <r>
    <s v="U154"/>
    <n v="21"/>
    <x v="0"/>
    <n v="4.8"/>
    <n v="5"/>
    <n v="7"/>
    <n v="1"/>
    <n v="2"/>
    <x v="5"/>
    <n v="8"/>
    <s v="15–25"/>
    <s v="Medium"/>
    <s v="Medium"/>
    <s v="High"/>
  </r>
  <r>
    <s v="U155"/>
    <n v="47"/>
    <x v="2"/>
    <n v="3.3"/>
    <n v="8"/>
    <n v="5"/>
    <n v="4"/>
    <n v="4"/>
    <x v="2"/>
    <n v="10"/>
    <s v="46+"/>
    <s v="Medium"/>
    <s v="Medium"/>
    <s v="High"/>
  </r>
  <r>
    <s v="U156"/>
    <n v="19"/>
    <x v="2"/>
    <n v="5.2"/>
    <n v="7"/>
    <n v="5"/>
    <n v="4"/>
    <n v="4"/>
    <x v="1"/>
    <n v="10"/>
    <s v="15–25"/>
    <s v="Medium"/>
    <s v="Medium"/>
    <s v="High"/>
  </r>
  <r>
    <s v="U157"/>
    <n v="26"/>
    <x v="2"/>
    <n v="6.7"/>
    <n v="5"/>
    <n v="7"/>
    <n v="2"/>
    <n v="4"/>
    <x v="5"/>
    <n v="8"/>
    <s v="26–35"/>
    <s v="High"/>
    <s v="Medium"/>
    <s v="High"/>
  </r>
  <r>
    <s v="U158"/>
    <n v="32"/>
    <x v="0"/>
    <n v="7.3"/>
    <n v="5"/>
    <n v="7"/>
    <n v="1"/>
    <n v="3"/>
    <x v="2"/>
    <n v="8"/>
    <s v="26–35"/>
    <s v="High"/>
    <s v="Medium"/>
    <s v="High"/>
  </r>
  <r>
    <s v="U159"/>
    <n v="39"/>
    <x v="0"/>
    <n v="7.5"/>
    <n v="5"/>
    <n v="6"/>
    <n v="6"/>
    <n v="3"/>
    <x v="5"/>
    <n v="7"/>
    <s v="36–45"/>
    <s v="High"/>
    <s v="Medium"/>
    <s v="Normal"/>
  </r>
  <r>
    <s v="U160"/>
    <n v="20"/>
    <x v="0"/>
    <n v="7.9"/>
    <n v="5"/>
    <n v="9"/>
    <n v="2"/>
    <n v="4"/>
    <x v="5"/>
    <n v="5"/>
    <s v="15–25"/>
    <s v="High"/>
    <s v="High"/>
    <s v="Normal"/>
  </r>
  <r>
    <s v="U161"/>
    <n v="49"/>
    <x v="0"/>
    <n v="5.0999999999999996"/>
    <n v="5"/>
    <n v="7"/>
    <n v="6"/>
    <n v="3"/>
    <x v="2"/>
    <n v="8"/>
    <s v="46+"/>
    <s v="Medium"/>
    <s v="Medium"/>
    <s v="High"/>
  </r>
  <r>
    <s v="U162"/>
    <n v="21"/>
    <x v="2"/>
    <n v="3.4"/>
    <n v="9"/>
    <n v="7"/>
    <n v="5"/>
    <n v="1"/>
    <x v="2"/>
    <n v="8"/>
    <s v="15–25"/>
    <s v="Medium"/>
    <s v="Medium"/>
    <s v="High"/>
  </r>
  <r>
    <s v="U163"/>
    <n v="37"/>
    <x v="2"/>
    <n v="5.3"/>
    <n v="7"/>
    <n v="6"/>
    <n v="4"/>
    <n v="0"/>
    <x v="5"/>
    <n v="10"/>
    <s v="36–45"/>
    <s v="Medium"/>
    <s v="Medium"/>
    <s v="High"/>
  </r>
  <r>
    <s v="U164"/>
    <n v="26"/>
    <x v="0"/>
    <n v="6.6"/>
    <n v="6"/>
    <n v="8"/>
    <n v="4"/>
    <n v="0"/>
    <x v="0"/>
    <n v="8"/>
    <s v="26–35"/>
    <s v="High"/>
    <s v="High"/>
    <s v="High"/>
  </r>
  <r>
    <s v="U165"/>
    <n v="31"/>
    <x v="1"/>
    <n v="3.3"/>
    <n v="9"/>
    <n v="5"/>
    <n v="0"/>
    <n v="2"/>
    <x v="2"/>
    <n v="10"/>
    <s v="26–35"/>
    <s v="Medium"/>
    <s v="Medium"/>
    <s v="High"/>
  </r>
  <r>
    <s v="U166"/>
    <n v="48"/>
    <x v="2"/>
    <n v="8.5"/>
    <n v="4"/>
    <n v="10"/>
    <n v="3"/>
    <n v="3"/>
    <x v="1"/>
    <n v="8"/>
    <s v="46+"/>
    <s v="High"/>
    <s v="High"/>
    <s v="High"/>
  </r>
  <r>
    <s v="U167"/>
    <n v="24"/>
    <x v="0"/>
    <n v="7.1"/>
    <n v="6"/>
    <n v="8"/>
    <n v="6"/>
    <n v="1"/>
    <x v="3"/>
    <n v="7"/>
    <s v="15–25"/>
    <s v="High"/>
    <s v="High"/>
    <s v="Normal"/>
  </r>
  <r>
    <s v="U168"/>
    <n v="21"/>
    <x v="0"/>
    <n v="5.0999999999999996"/>
    <n v="6"/>
    <n v="5"/>
    <n v="4"/>
    <n v="4"/>
    <x v="4"/>
    <n v="10"/>
    <s v="15–25"/>
    <s v="Medium"/>
    <s v="Medium"/>
    <s v="High"/>
  </r>
  <r>
    <s v="U169"/>
    <n v="31"/>
    <x v="0"/>
    <n v="4.2"/>
    <n v="8"/>
    <n v="6"/>
    <n v="3"/>
    <n v="2"/>
    <x v="5"/>
    <n v="10"/>
    <s v="26–35"/>
    <s v="Medium"/>
    <s v="Medium"/>
    <s v="High"/>
  </r>
  <r>
    <s v="U170"/>
    <n v="44"/>
    <x v="0"/>
    <n v="4.3"/>
    <n v="8"/>
    <n v="6"/>
    <n v="6"/>
    <n v="2"/>
    <x v="5"/>
    <n v="10"/>
    <s v="36–45"/>
    <s v="Medium"/>
    <s v="Medium"/>
    <s v="High"/>
  </r>
  <r>
    <s v="U171"/>
    <n v="18"/>
    <x v="0"/>
    <n v="5.6"/>
    <n v="5"/>
    <n v="7"/>
    <n v="3"/>
    <n v="1"/>
    <x v="4"/>
    <n v="6"/>
    <s v="15–25"/>
    <s v="Medium"/>
    <s v="Medium"/>
    <s v="Normal"/>
  </r>
  <r>
    <s v="U172"/>
    <n v="35"/>
    <x v="0"/>
    <n v="5.0999999999999996"/>
    <n v="7"/>
    <n v="7"/>
    <n v="2"/>
    <n v="0"/>
    <x v="0"/>
    <n v="7"/>
    <s v="26–35"/>
    <s v="Medium"/>
    <s v="Medium"/>
    <s v="Normal"/>
  </r>
  <r>
    <s v="U173"/>
    <n v="34"/>
    <x v="0"/>
    <n v="7.2"/>
    <n v="6"/>
    <n v="6"/>
    <n v="3"/>
    <n v="3"/>
    <x v="4"/>
    <n v="8"/>
    <s v="26–35"/>
    <s v="High"/>
    <s v="Medium"/>
    <s v="High"/>
  </r>
  <r>
    <s v="U174"/>
    <n v="41"/>
    <x v="0"/>
    <n v="4.9000000000000004"/>
    <n v="7"/>
    <n v="5"/>
    <n v="5"/>
    <n v="5"/>
    <x v="2"/>
    <n v="10"/>
    <s v="36–45"/>
    <s v="Medium"/>
    <s v="Medium"/>
    <s v="High"/>
  </r>
  <r>
    <s v="U175"/>
    <n v="18"/>
    <x v="2"/>
    <n v="6.4"/>
    <n v="6"/>
    <n v="8"/>
    <n v="0"/>
    <n v="2"/>
    <x v="4"/>
    <n v="8"/>
    <s v="15–25"/>
    <s v="High"/>
    <s v="High"/>
    <s v="High"/>
  </r>
  <r>
    <s v="U176"/>
    <n v="34"/>
    <x v="0"/>
    <n v="5.4"/>
    <n v="6"/>
    <n v="6"/>
    <n v="4"/>
    <n v="0"/>
    <x v="5"/>
    <n v="10"/>
    <s v="26–35"/>
    <s v="Medium"/>
    <s v="Medium"/>
    <s v="High"/>
  </r>
  <r>
    <s v="U177"/>
    <n v="35"/>
    <x v="2"/>
    <n v="6"/>
    <n v="7"/>
    <n v="7"/>
    <n v="5"/>
    <n v="4"/>
    <x v="4"/>
    <n v="8"/>
    <s v="26–35"/>
    <s v="Medium"/>
    <s v="Medium"/>
    <s v="High"/>
  </r>
  <r>
    <s v="U178"/>
    <n v="47"/>
    <x v="0"/>
    <n v="5.0999999999999996"/>
    <n v="7"/>
    <n v="4"/>
    <n v="2"/>
    <n v="0"/>
    <x v="3"/>
    <n v="9"/>
    <s v="46+"/>
    <s v="Medium"/>
    <s v="Low"/>
    <s v="High"/>
  </r>
  <r>
    <s v="U179"/>
    <n v="22"/>
    <x v="1"/>
    <n v="6.8"/>
    <n v="5"/>
    <n v="10"/>
    <n v="5"/>
    <n v="1"/>
    <x v="1"/>
    <n v="7"/>
    <s v="15–25"/>
    <s v="High"/>
    <s v="High"/>
    <s v="Normal"/>
  </r>
  <r>
    <s v="U180"/>
    <n v="48"/>
    <x v="0"/>
    <n v="6.8"/>
    <n v="4"/>
    <n v="7"/>
    <n v="4"/>
    <n v="2"/>
    <x v="2"/>
    <n v="7"/>
    <s v="46+"/>
    <s v="High"/>
    <s v="Medium"/>
    <s v="Normal"/>
  </r>
  <r>
    <s v="U181"/>
    <n v="33"/>
    <x v="0"/>
    <n v="6.3"/>
    <n v="6"/>
    <n v="8"/>
    <n v="7"/>
    <n v="3"/>
    <x v="4"/>
    <n v="6"/>
    <s v="26–35"/>
    <s v="High"/>
    <s v="High"/>
    <s v="Normal"/>
  </r>
  <r>
    <s v="U182"/>
    <n v="16"/>
    <x v="1"/>
    <n v="6.6"/>
    <n v="6"/>
    <n v="7"/>
    <n v="1"/>
    <n v="1"/>
    <x v="5"/>
    <n v="8"/>
    <s v="15–25"/>
    <s v="High"/>
    <s v="Medium"/>
    <s v="High"/>
  </r>
  <r>
    <s v="U183"/>
    <n v="26"/>
    <x v="2"/>
    <n v="3.8"/>
    <n v="10"/>
    <n v="6"/>
    <n v="5"/>
    <n v="2"/>
    <x v="1"/>
    <n v="10"/>
    <s v="26–35"/>
    <s v="Medium"/>
    <s v="Medium"/>
    <s v="High"/>
  </r>
  <r>
    <s v="U184"/>
    <n v="43"/>
    <x v="2"/>
    <n v="6.1"/>
    <n v="7"/>
    <n v="9"/>
    <n v="1"/>
    <n v="4"/>
    <x v="2"/>
    <n v="7"/>
    <s v="36–45"/>
    <s v="High"/>
    <s v="High"/>
    <s v="Normal"/>
  </r>
  <r>
    <s v="U185"/>
    <n v="40"/>
    <x v="0"/>
    <n v="7.7"/>
    <n v="3"/>
    <n v="9"/>
    <n v="0"/>
    <n v="4"/>
    <x v="5"/>
    <n v="5"/>
    <s v="36–45"/>
    <s v="High"/>
    <s v="High"/>
    <s v="Normal"/>
  </r>
  <r>
    <s v="U186"/>
    <n v="38"/>
    <x v="0"/>
    <n v="6.4"/>
    <n v="6"/>
    <n v="7"/>
    <n v="0"/>
    <n v="4"/>
    <x v="0"/>
    <n v="8"/>
    <s v="36–45"/>
    <s v="High"/>
    <s v="Medium"/>
    <s v="High"/>
  </r>
  <r>
    <s v="U187"/>
    <n v="46"/>
    <x v="2"/>
    <n v="3.6"/>
    <n v="9"/>
    <n v="5"/>
    <n v="4"/>
    <n v="5"/>
    <x v="3"/>
    <n v="10"/>
    <s v="46+"/>
    <s v="Medium"/>
    <s v="Medium"/>
    <s v="High"/>
  </r>
  <r>
    <s v="U188"/>
    <n v="45"/>
    <x v="2"/>
    <n v="5.4"/>
    <n v="7"/>
    <n v="8"/>
    <n v="3"/>
    <n v="4"/>
    <x v="0"/>
    <n v="7"/>
    <s v="36–45"/>
    <s v="Medium"/>
    <s v="High"/>
    <s v="Normal"/>
  </r>
  <r>
    <s v="U189"/>
    <n v="22"/>
    <x v="2"/>
    <n v="6.2"/>
    <n v="6"/>
    <n v="9"/>
    <n v="2"/>
    <n v="2"/>
    <x v="3"/>
    <n v="6"/>
    <s v="15–25"/>
    <s v="High"/>
    <s v="High"/>
    <s v="Normal"/>
  </r>
  <r>
    <s v="U190"/>
    <n v="31"/>
    <x v="2"/>
    <n v="4.0999999999999996"/>
    <n v="8"/>
    <n v="6"/>
    <n v="0"/>
    <n v="4"/>
    <x v="4"/>
    <n v="10"/>
    <s v="26–35"/>
    <s v="Medium"/>
    <s v="Medium"/>
    <s v="High"/>
  </r>
  <r>
    <s v="U191"/>
    <n v="41"/>
    <x v="0"/>
    <n v="3.1"/>
    <n v="7"/>
    <n v="7"/>
    <n v="2"/>
    <n v="3"/>
    <x v="2"/>
    <n v="9"/>
    <s v="36–45"/>
    <s v="Medium"/>
    <s v="Medium"/>
    <s v="High"/>
  </r>
  <r>
    <s v="U192"/>
    <n v="17"/>
    <x v="2"/>
    <n v="4.9000000000000004"/>
    <n v="7"/>
    <n v="6"/>
    <n v="3"/>
    <n v="3"/>
    <x v="4"/>
    <n v="10"/>
    <s v="15–25"/>
    <s v="Medium"/>
    <s v="Medium"/>
    <s v="High"/>
  </r>
  <r>
    <s v="U193"/>
    <n v="16"/>
    <x v="0"/>
    <n v="4.2"/>
    <n v="7"/>
    <n v="7"/>
    <n v="5"/>
    <n v="3"/>
    <x v="3"/>
    <n v="8"/>
    <s v="15–25"/>
    <s v="Medium"/>
    <s v="Medium"/>
    <s v="High"/>
  </r>
  <r>
    <s v="U194"/>
    <n v="27"/>
    <x v="0"/>
    <n v="5.5"/>
    <n v="6"/>
    <n v="8"/>
    <n v="3"/>
    <n v="1"/>
    <x v="3"/>
    <n v="7"/>
    <s v="26–35"/>
    <s v="Medium"/>
    <s v="High"/>
    <s v="Normal"/>
  </r>
  <r>
    <s v="U195"/>
    <n v="20"/>
    <x v="0"/>
    <n v="2.6"/>
    <n v="9"/>
    <n v="4"/>
    <n v="4"/>
    <n v="1"/>
    <x v="3"/>
    <n v="10"/>
    <s v="15–25"/>
    <s v="Low"/>
    <s v="Low"/>
    <s v="High"/>
  </r>
  <r>
    <s v="U196"/>
    <n v="47"/>
    <x v="2"/>
    <n v="6.5"/>
    <n v="5"/>
    <n v="7"/>
    <n v="2"/>
    <n v="2"/>
    <x v="1"/>
    <n v="8"/>
    <s v="46+"/>
    <s v="High"/>
    <s v="Medium"/>
    <s v="High"/>
  </r>
  <r>
    <s v="U197"/>
    <n v="24"/>
    <x v="0"/>
    <n v="4.4000000000000004"/>
    <n v="8"/>
    <n v="7"/>
    <n v="6"/>
    <n v="3"/>
    <x v="5"/>
    <n v="10"/>
    <s v="15–25"/>
    <s v="Medium"/>
    <s v="Medium"/>
    <s v="High"/>
  </r>
  <r>
    <s v="U198"/>
    <n v="34"/>
    <x v="0"/>
    <n v="7.3"/>
    <n v="5"/>
    <n v="7"/>
    <n v="1"/>
    <n v="1"/>
    <x v="2"/>
    <n v="6"/>
    <s v="26–35"/>
    <s v="High"/>
    <s v="Medium"/>
    <s v="Normal"/>
  </r>
  <r>
    <s v="U199"/>
    <n v="31"/>
    <x v="2"/>
    <n v="5"/>
    <n v="7"/>
    <n v="5"/>
    <n v="2"/>
    <n v="3"/>
    <x v="4"/>
    <n v="10"/>
    <s v="26–35"/>
    <s v="Medium"/>
    <s v="Medium"/>
    <s v="High"/>
  </r>
  <r>
    <s v="U200"/>
    <n v="18"/>
    <x v="0"/>
    <n v="5.5"/>
    <n v="5"/>
    <n v="6"/>
    <n v="2"/>
    <n v="6"/>
    <x v="4"/>
    <n v="9"/>
    <s v="15–25"/>
    <s v="Medium"/>
    <s v="Medium"/>
    <s v="High"/>
  </r>
  <r>
    <s v="U201"/>
    <n v="35"/>
    <x v="2"/>
    <n v="5.2"/>
    <n v="7"/>
    <n v="6"/>
    <n v="4"/>
    <n v="0"/>
    <x v="0"/>
    <n v="10"/>
    <s v="26–35"/>
    <s v="Medium"/>
    <s v="Medium"/>
    <s v="High"/>
  </r>
  <r>
    <s v="U202"/>
    <n v="39"/>
    <x v="0"/>
    <n v="4.3"/>
    <n v="9"/>
    <n v="7"/>
    <n v="1"/>
    <n v="3"/>
    <x v="3"/>
    <n v="9"/>
    <s v="36–45"/>
    <s v="Medium"/>
    <s v="Medium"/>
    <s v="High"/>
  </r>
  <r>
    <s v="U203"/>
    <n v="48"/>
    <x v="2"/>
    <n v="10"/>
    <n v="3"/>
    <n v="10"/>
    <n v="3"/>
    <n v="2"/>
    <x v="3"/>
    <n v="4"/>
    <s v="46+"/>
    <s v="High"/>
    <s v="High"/>
    <s v="Low"/>
  </r>
  <r>
    <s v="U204"/>
    <n v="39"/>
    <x v="2"/>
    <n v="4.5999999999999996"/>
    <n v="6"/>
    <n v="7"/>
    <n v="3"/>
    <n v="3"/>
    <x v="3"/>
    <n v="6"/>
    <s v="36–45"/>
    <s v="Medium"/>
    <s v="Medium"/>
    <s v="Normal"/>
  </r>
  <r>
    <s v="U205"/>
    <n v="26"/>
    <x v="0"/>
    <n v="7.3"/>
    <n v="5"/>
    <n v="8"/>
    <n v="2"/>
    <n v="2"/>
    <x v="4"/>
    <n v="7"/>
    <s v="26–35"/>
    <s v="High"/>
    <s v="High"/>
    <s v="Normal"/>
  </r>
  <r>
    <s v="U206"/>
    <n v="23"/>
    <x v="0"/>
    <n v="3.5"/>
    <n v="9"/>
    <n v="5"/>
    <n v="4"/>
    <n v="2"/>
    <x v="0"/>
    <n v="10"/>
    <s v="15–25"/>
    <s v="Medium"/>
    <s v="Medium"/>
    <s v="High"/>
  </r>
  <r>
    <s v="U207"/>
    <n v="35"/>
    <x v="0"/>
    <n v="6.2"/>
    <n v="4"/>
    <n v="8"/>
    <n v="1"/>
    <n v="3"/>
    <x v="5"/>
    <n v="7"/>
    <s v="26–35"/>
    <s v="High"/>
    <s v="High"/>
    <s v="Normal"/>
  </r>
  <r>
    <s v="U208"/>
    <n v="40"/>
    <x v="0"/>
    <n v="6.4"/>
    <n v="5"/>
    <n v="8"/>
    <n v="1"/>
    <n v="2"/>
    <x v="1"/>
    <n v="7"/>
    <s v="36–45"/>
    <s v="High"/>
    <s v="High"/>
    <s v="Normal"/>
  </r>
  <r>
    <s v="U209"/>
    <n v="40"/>
    <x v="1"/>
    <n v="5.5"/>
    <n v="6"/>
    <n v="7"/>
    <n v="3"/>
    <n v="0"/>
    <x v="2"/>
    <n v="9"/>
    <s v="36–45"/>
    <s v="Medium"/>
    <s v="Medium"/>
    <s v="High"/>
  </r>
  <r>
    <s v="U210"/>
    <n v="44"/>
    <x v="0"/>
    <n v="4.5"/>
    <n v="6"/>
    <n v="6"/>
    <n v="0"/>
    <n v="2"/>
    <x v="5"/>
    <n v="9"/>
    <s v="36–45"/>
    <s v="Medium"/>
    <s v="Medium"/>
    <s v="High"/>
  </r>
  <r>
    <s v="U211"/>
    <n v="33"/>
    <x v="2"/>
    <n v="5"/>
    <n v="6"/>
    <n v="6"/>
    <n v="0"/>
    <n v="0"/>
    <x v="4"/>
    <n v="8"/>
    <s v="26–35"/>
    <s v="Medium"/>
    <s v="Medium"/>
    <s v="High"/>
  </r>
  <r>
    <s v="U212"/>
    <n v="33"/>
    <x v="0"/>
    <n v="4.8"/>
    <n v="5"/>
    <n v="6"/>
    <n v="4"/>
    <n v="3"/>
    <x v="1"/>
    <n v="9"/>
    <s v="26–35"/>
    <s v="Medium"/>
    <s v="Medium"/>
    <s v="High"/>
  </r>
  <r>
    <s v="U213"/>
    <n v="17"/>
    <x v="2"/>
    <n v="9.8000000000000007"/>
    <n v="4"/>
    <n v="9"/>
    <n v="5"/>
    <n v="0"/>
    <x v="1"/>
    <n v="6"/>
    <s v="15–25"/>
    <s v="High"/>
    <s v="High"/>
    <s v="Normal"/>
  </r>
  <r>
    <s v="U214"/>
    <n v="31"/>
    <x v="2"/>
    <n v="5.5"/>
    <n v="7"/>
    <n v="7"/>
    <n v="2"/>
    <n v="4"/>
    <x v="1"/>
    <n v="9"/>
    <s v="26–35"/>
    <s v="Medium"/>
    <s v="Medium"/>
    <s v="High"/>
  </r>
  <r>
    <s v="U215"/>
    <n v="48"/>
    <x v="2"/>
    <n v="6.4"/>
    <n v="4"/>
    <n v="6"/>
    <n v="2"/>
    <n v="3"/>
    <x v="3"/>
    <n v="7"/>
    <s v="46+"/>
    <s v="High"/>
    <s v="Medium"/>
    <s v="Normal"/>
  </r>
  <r>
    <s v="U216"/>
    <n v="19"/>
    <x v="2"/>
    <n v="8.6999999999999993"/>
    <n v="6"/>
    <n v="7"/>
    <n v="5"/>
    <n v="3"/>
    <x v="2"/>
    <n v="10"/>
    <s v="15–25"/>
    <s v="High"/>
    <s v="Medium"/>
    <s v="High"/>
  </r>
  <r>
    <s v="U217"/>
    <n v="48"/>
    <x v="0"/>
    <n v="3.9"/>
    <n v="9"/>
    <n v="5"/>
    <n v="1"/>
    <n v="0"/>
    <x v="4"/>
    <n v="10"/>
    <s v="46+"/>
    <s v="Medium"/>
    <s v="Medium"/>
    <s v="High"/>
  </r>
  <r>
    <s v="U218"/>
    <n v="29"/>
    <x v="0"/>
    <n v="5.6"/>
    <n v="6"/>
    <n v="6"/>
    <n v="0"/>
    <n v="2"/>
    <x v="4"/>
    <n v="8"/>
    <s v="26–35"/>
    <s v="Medium"/>
    <s v="Medium"/>
    <s v="High"/>
  </r>
  <r>
    <s v="U219"/>
    <n v="36"/>
    <x v="2"/>
    <n v="5"/>
    <n v="8"/>
    <n v="6"/>
    <n v="4"/>
    <n v="4"/>
    <x v="1"/>
    <n v="10"/>
    <s v="36–45"/>
    <s v="Medium"/>
    <s v="Medium"/>
    <s v="High"/>
  </r>
  <r>
    <s v="U220"/>
    <n v="35"/>
    <x v="2"/>
    <n v="5.3"/>
    <n v="6"/>
    <n v="6"/>
    <n v="3"/>
    <n v="2"/>
    <x v="4"/>
    <n v="9"/>
    <s v="26–35"/>
    <s v="Medium"/>
    <s v="Medium"/>
    <s v="High"/>
  </r>
  <r>
    <s v="U221"/>
    <n v="23"/>
    <x v="1"/>
    <n v="5.2"/>
    <n v="7"/>
    <n v="6"/>
    <n v="5"/>
    <n v="1"/>
    <x v="2"/>
    <n v="9"/>
    <s v="15–25"/>
    <s v="Medium"/>
    <s v="Medium"/>
    <s v="High"/>
  </r>
  <r>
    <s v="U222"/>
    <n v="22"/>
    <x v="0"/>
    <n v="4.2"/>
    <n v="6"/>
    <n v="6"/>
    <n v="0"/>
    <n v="2"/>
    <x v="2"/>
    <n v="8"/>
    <s v="15–25"/>
    <s v="Medium"/>
    <s v="Medium"/>
    <s v="High"/>
  </r>
  <r>
    <s v="U223"/>
    <n v="18"/>
    <x v="2"/>
    <n v="5.9"/>
    <n v="8"/>
    <n v="6"/>
    <n v="0"/>
    <n v="2"/>
    <x v="0"/>
    <n v="8"/>
    <s v="15–25"/>
    <s v="Medium"/>
    <s v="Medium"/>
    <s v="High"/>
  </r>
  <r>
    <s v="U224"/>
    <n v="32"/>
    <x v="2"/>
    <n v="3.6"/>
    <n v="7"/>
    <n v="5"/>
    <n v="3"/>
    <n v="1"/>
    <x v="0"/>
    <n v="10"/>
    <s v="26–35"/>
    <s v="Medium"/>
    <s v="Medium"/>
    <s v="High"/>
  </r>
  <r>
    <s v="U225"/>
    <n v="48"/>
    <x v="0"/>
    <n v="7.3"/>
    <n v="5"/>
    <n v="9"/>
    <n v="4"/>
    <n v="4"/>
    <x v="5"/>
    <n v="5"/>
    <s v="46+"/>
    <s v="High"/>
    <s v="High"/>
    <s v="Normal"/>
  </r>
  <r>
    <s v="U226"/>
    <n v="27"/>
    <x v="0"/>
    <n v="6.6"/>
    <n v="5"/>
    <n v="7"/>
    <n v="5"/>
    <n v="2"/>
    <x v="2"/>
    <n v="7"/>
    <s v="26–35"/>
    <s v="High"/>
    <s v="Medium"/>
    <s v="Normal"/>
  </r>
  <r>
    <s v="U227"/>
    <n v="37"/>
    <x v="2"/>
    <n v="4.5999999999999996"/>
    <n v="9"/>
    <n v="6"/>
    <n v="3"/>
    <n v="2"/>
    <x v="2"/>
    <n v="8"/>
    <s v="36–45"/>
    <s v="Medium"/>
    <s v="Medium"/>
    <s v="High"/>
  </r>
  <r>
    <s v="U228"/>
    <n v="37"/>
    <x v="2"/>
    <n v="4.7"/>
    <n v="9"/>
    <n v="6"/>
    <n v="3"/>
    <n v="1"/>
    <x v="2"/>
    <n v="10"/>
    <s v="36–45"/>
    <s v="Medium"/>
    <s v="Medium"/>
    <s v="High"/>
  </r>
  <r>
    <s v="U229"/>
    <n v="45"/>
    <x v="2"/>
    <n v="6"/>
    <n v="8"/>
    <n v="7"/>
    <n v="2"/>
    <n v="3"/>
    <x v="0"/>
    <n v="9"/>
    <s v="36–45"/>
    <s v="Medium"/>
    <s v="Medium"/>
    <s v="High"/>
  </r>
  <r>
    <s v="U230"/>
    <n v="23"/>
    <x v="0"/>
    <n v="4.0999999999999996"/>
    <n v="8"/>
    <n v="5"/>
    <n v="6"/>
    <n v="3"/>
    <x v="1"/>
    <n v="10"/>
    <s v="15–25"/>
    <s v="Medium"/>
    <s v="Medium"/>
    <s v="High"/>
  </r>
  <r>
    <s v="U231"/>
    <n v="42"/>
    <x v="2"/>
    <n v="8.8000000000000007"/>
    <n v="4"/>
    <n v="8"/>
    <n v="1"/>
    <n v="1"/>
    <x v="1"/>
    <n v="6"/>
    <s v="36–45"/>
    <s v="High"/>
    <s v="High"/>
    <s v="Normal"/>
  </r>
  <r>
    <s v="U232"/>
    <n v="42"/>
    <x v="0"/>
    <n v="6.1"/>
    <n v="7"/>
    <n v="6"/>
    <n v="4"/>
    <n v="0"/>
    <x v="4"/>
    <n v="8"/>
    <s v="36–45"/>
    <s v="High"/>
    <s v="Medium"/>
    <s v="High"/>
  </r>
  <r>
    <s v="U233"/>
    <n v="49"/>
    <x v="0"/>
    <n v="6.2"/>
    <n v="6"/>
    <n v="8"/>
    <n v="1"/>
    <n v="3"/>
    <x v="1"/>
    <n v="8"/>
    <s v="46+"/>
    <s v="High"/>
    <s v="High"/>
    <s v="High"/>
  </r>
  <r>
    <s v="U234"/>
    <n v="36"/>
    <x v="0"/>
    <n v="6.7"/>
    <n v="7"/>
    <n v="7"/>
    <n v="4"/>
    <n v="2"/>
    <x v="3"/>
    <n v="8"/>
    <s v="36–45"/>
    <s v="High"/>
    <s v="Medium"/>
    <s v="High"/>
  </r>
  <r>
    <s v="U235"/>
    <n v="45"/>
    <x v="2"/>
    <n v="4.5"/>
    <n v="8"/>
    <n v="6"/>
    <n v="1"/>
    <n v="3"/>
    <x v="0"/>
    <n v="10"/>
    <s v="36–45"/>
    <s v="Medium"/>
    <s v="Medium"/>
    <s v="High"/>
  </r>
  <r>
    <s v="U236"/>
    <n v="48"/>
    <x v="2"/>
    <n v="7.5"/>
    <n v="4"/>
    <n v="9"/>
    <n v="4"/>
    <n v="5"/>
    <x v="2"/>
    <n v="5"/>
    <s v="46+"/>
    <s v="High"/>
    <s v="High"/>
    <s v="Normal"/>
  </r>
  <r>
    <s v="U237"/>
    <n v="43"/>
    <x v="2"/>
    <n v="5.7"/>
    <n v="7"/>
    <n v="7"/>
    <n v="3"/>
    <n v="2"/>
    <x v="1"/>
    <n v="9"/>
    <s v="36–45"/>
    <s v="Medium"/>
    <s v="Medium"/>
    <s v="High"/>
  </r>
  <r>
    <s v="U238"/>
    <n v="48"/>
    <x v="0"/>
    <n v="7.2"/>
    <n v="6"/>
    <n v="8"/>
    <n v="6"/>
    <n v="2"/>
    <x v="0"/>
    <n v="9"/>
    <s v="46+"/>
    <s v="High"/>
    <s v="High"/>
    <s v="High"/>
  </r>
  <r>
    <s v="U239"/>
    <n v="20"/>
    <x v="2"/>
    <n v="5.0999999999999996"/>
    <n v="4"/>
    <n v="5"/>
    <n v="2"/>
    <n v="1"/>
    <x v="1"/>
    <n v="9"/>
    <s v="15–25"/>
    <s v="Medium"/>
    <s v="Medium"/>
    <s v="High"/>
  </r>
  <r>
    <s v="U240"/>
    <n v="34"/>
    <x v="0"/>
    <n v="7.9"/>
    <n v="6"/>
    <n v="8"/>
    <n v="4"/>
    <n v="2"/>
    <x v="5"/>
    <n v="7"/>
    <s v="26–35"/>
    <s v="High"/>
    <s v="High"/>
    <s v="Normal"/>
  </r>
  <r>
    <s v="U241"/>
    <n v="19"/>
    <x v="2"/>
    <n v="6.2"/>
    <n v="5"/>
    <n v="7"/>
    <n v="1"/>
    <n v="3"/>
    <x v="2"/>
    <n v="8"/>
    <s v="15–25"/>
    <s v="High"/>
    <s v="Medium"/>
    <s v="High"/>
  </r>
  <r>
    <s v="U242"/>
    <n v="32"/>
    <x v="0"/>
    <n v="9.4"/>
    <n v="3"/>
    <n v="9"/>
    <n v="2"/>
    <n v="3"/>
    <x v="5"/>
    <n v="5"/>
    <s v="26–35"/>
    <s v="High"/>
    <s v="High"/>
    <s v="Normal"/>
  </r>
  <r>
    <s v="U243"/>
    <n v="43"/>
    <x v="0"/>
    <n v="4.8"/>
    <n v="6"/>
    <n v="5"/>
    <n v="3"/>
    <n v="5"/>
    <x v="2"/>
    <n v="10"/>
    <s v="36–45"/>
    <s v="Medium"/>
    <s v="Medium"/>
    <s v="High"/>
  </r>
  <r>
    <s v="U244"/>
    <n v="45"/>
    <x v="0"/>
    <n v="5.9"/>
    <n v="6"/>
    <n v="8"/>
    <n v="0"/>
    <n v="3"/>
    <x v="0"/>
    <n v="7"/>
    <s v="36–45"/>
    <s v="Medium"/>
    <s v="High"/>
    <s v="Normal"/>
  </r>
  <r>
    <s v="U245"/>
    <n v="44"/>
    <x v="0"/>
    <n v="3.6"/>
    <n v="8"/>
    <n v="5"/>
    <n v="0"/>
    <n v="2"/>
    <x v="4"/>
    <n v="10"/>
    <s v="36–45"/>
    <s v="Medium"/>
    <s v="Medium"/>
    <s v="High"/>
  </r>
  <r>
    <s v="U246"/>
    <n v="21"/>
    <x v="2"/>
    <n v="4.5"/>
    <n v="6"/>
    <n v="6"/>
    <n v="4"/>
    <n v="1"/>
    <x v="1"/>
    <n v="9"/>
    <s v="15–25"/>
    <s v="Medium"/>
    <s v="Medium"/>
    <s v="High"/>
  </r>
  <r>
    <s v="U247"/>
    <n v="39"/>
    <x v="2"/>
    <n v="6.6"/>
    <n v="6"/>
    <n v="7"/>
    <n v="3"/>
    <n v="3"/>
    <x v="1"/>
    <n v="7"/>
    <s v="36–45"/>
    <s v="High"/>
    <s v="Medium"/>
    <s v="Normal"/>
  </r>
  <r>
    <s v="U248"/>
    <n v="44"/>
    <x v="0"/>
    <n v="7.5"/>
    <n v="6"/>
    <n v="9"/>
    <n v="2"/>
    <n v="1"/>
    <x v="3"/>
    <n v="6"/>
    <s v="36–45"/>
    <s v="High"/>
    <s v="High"/>
    <s v="Normal"/>
  </r>
  <r>
    <s v="U249"/>
    <n v="46"/>
    <x v="2"/>
    <n v="10.8"/>
    <n v="5"/>
    <n v="10"/>
    <n v="2"/>
    <n v="3"/>
    <x v="5"/>
    <n v="4"/>
    <s v="46+"/>
    <s v="High"/>
    <s v="High"/>
    <s v="Low"/>
  </r>
  <r>
    <s v="U250"/>
    <n v="48"/>
    <x v="0"/>
    <n v="5.3"/>
    <n v="5"/>
    <n v="5"/>
    <n v="2"/>
    <n v="3"/>
    <x v="1"/>
    <n v="8"/>
    <s v="46+"/>
    <s v="Medium"/>
    <s v="Medium"/>
    <s v="High"/>
  </r>
  <r>
    <s v="U251"/>
    <n v="36"/>
    <x v="2"/>
    <n v="3.8"/>
    <n v="7"/>
    <n v="5"/>
    <n v="3"/>
    <n v="2"/>
    <x v="0"/>
    <n v="9"/>
    <s v="36–45"/>
    <s v="Medium"/>
    <s v="Medium"/>
    <s v="High"/>
  </r>
  <r>
    <s v="U252"/>
    <n v="47"/>
    <x v="2"/>
    <n v="6.9"/>
    <n v="6"/>
    <n v="8"/>
    <n v="4"/>
    <n v="2"/>
    <x v="4"/>
    <n v="8"/>
    <s v="46+"/>
    <s v="High"/>
    <s v="High"/>
    <s v="High"/>
  </r>
  <r>
    <s v="U253"/>
    <n v="38"/>
    <x v="2"/>
    <n v="3.5"/>
    <n v="9"/>
    <n v="4"/>
    <n v="0"/>
    <n v="0"/>
    <x v="0"/>
    <n v="10"/>
    <s v="36–45"/>
    <s v="Medium"/>
    <s v="Low"/>
    <s v="High"/>
  </r>
  <r>
    <s v="U254"/>
    <n v="48"/>
    <x v="0"/>
    <n v="6.5"/>
    <n v="5"/>
    <n v="8"/>
    <n v="6"/>
    <n v="4"/>
    <x v="5"/>
    <n v="8"/>
    <s v="46+"/>
    <s v="High"/>
    <s v="High"/>
    <s v="High"/>
  </r>
  <r>
    <s v="U255"/>
    <n v="18"/>
    <x v="2"/>
    <n v="4.5999999999999996"/>
    <n v="8"/>
    <n v="7"/>
    <n v="6"/>
    <n v="3"/>
    <x v="3"/>
    <n v="9"/>
    <s v="15–25"/>
    <s v="Medium"/>
    <s v="Medium"/>
    <s v="High"/>
  </r>
  <r>
    <s v="U256"/>
    <n v="33"/>
    <x v="2"/>
    <n v="5.9"/>
    <n v="4"/>
    <n v="7"/>
    <n v="0"/>
    <n v="3"/>
    <x v="1"/>
    <n v="5"/>
    <s v="26–35"/>
    <s v="Medium"/>
    <s v="Medium"/>
    <s v="Normal"/>
  </r>
  <r>
    <s v="U257"/>
    <n v="40"/>
    <x v="0"/>
    <n v="7.5"/>
    <n v="4"/>
    <n v="8"/>
    <n v="5"/>
    <n v="0"/>
    <x v="0"/>
    <n v="7"/>
    <s v="36–45"/>
    <s v="High"/>
    <s v="High"/>
    <s v="Normal"/>
  </r>
  <r>
    <s v="U258"/>
    <n v="46"/>
    <x v="0"/>
    <n v="5.3"/>
    <n v="7"/>
    <n v="8"/>
    <n v="5"/>
    <n v="5"/>
    <x v="2"/>
    <n v="9"/>
    <s v="46+"/>
    <s v="Medium"/>
    <s v="High"/>
    <s v="High"/>
  </r>
  <r>
    <s v="U259"/>
    <n v="18"/>
    <x v="2"/>
    <n v="7.2"/>
    <n v="4"/>
    <n v="7"/>
    <n v="3"/>
    <n v="2"/>
    <x v="4"/>
    <n v="6"/>
    <s v="15–25"/>
    <s v="High"/>
    <s v="Medium"/>
    <s v="Normal"/>
  </r>
  <r>
    <s v="U260"/>
    <n v="39"/>
    <x v="2"/>
    <n v="7.1"/>
    <n v="4"/>
    <n v="8"/>
    <n v="0"/>
    <n v="2"/>
    <x v="0"/>
    <n v="7"/>
    <s v="36–45"/>
    <s v="High"/>
    <s v="High"/>
    <s v="Normal"/>
  </r>
  <r>
    <s v="U261"/>
    <n v="47"/>
    <x v="2"/>
    <n v="2.1"/>
    <n v="8"/>
    <n v="4"/>
    <n v="5"/>
    <n v="1"/>
    <x v="4"/>
    <n v="10"/>
    <s v="46+"/>
    <s v="Low"/>
    <s v="Low"/>
    <s v="High"/>
  </r>
  <r>
    <s v="U262"/>
    <n v="37"/>
    <x v="2"/>
    <n v="3.9"/>
    <n v="8"/>
    <n v="6"/>
    <n v="3"/>
    <n v="0"/>
    <x v="1"/>
    <n v="10"/>
    <s v="36–45"/>
    <s v="Medium"/>
    <s v="Medium"/>
    <s v="High"/>
  </r>
  <r>
    <s v="U263"/>
    <n v="38"/>
    <x v="2"/>
    <n v="2.7"/>
    <n v="6"/>
    <n v="3"/>
    <n v="4"/>
    <n v="4"/>
    <x v="2"/>
    <n v="10"/>
    <s v="36–45"/>
    <s v="Low"/>
    <s v="Low"/>
    <s v="High"/>
  </r>
  <r>
    <s v="U264"/>
    <n v="17"/>
    <x v="0"/>
    <n v="9.1"/>
    <n v="4"/>
    <n v="9"/>
    <n v="7"/>
    <n v="4"/>
    <x v="3"/>
    <n v="4"/>
    <s v="15–25"/>
    <s v="High"/>
    <s v="High"/>
    <s v="Low"/>
  </r>
  <r>
    <s v="U265"/>
    <n v="42"/>
    <x v="0"/>
    <n v="5.3"/>
    <n v="7"/>
    <n v="7"/>
    <n v="4"/>
    <n v="2"/>
    <x v="3"/>
    <n v="8"/>
    <s v="36–45"/>
    <s v="Medium"/>
    <s v="Medium"/>
    <s v="High"/>
  </r>
  <r>
    <s v="U266"/>
    <n v="17"/>
    <x v="0"/>
    <n v="8.6999999999999993"/>
    <n v="4"/>
    <n v="8"/>
    <n v="1"/>
    <n v="1"/>
    <x v="2"/>
    <n v="7"/>
    <s v="15–25"/>
    <s v="High"/>
    <s v="High"/>
    <s v="Normal"/>
  </r>
  <r>
    <s v="U267"/>
    <n v="41"/>
    <x v="2"/>
    <n v="2.6"/>
    <n v="8"/>
    <n v="4"/>
    <n v="2"/>
    <n v="2"/>
    <x v="4"/>
    <n v="10"/>
    <s v="36–45"/>
    <s v="Low"/>
    <s v="Low"/>
    <s v="High"/>
  </r>
  <r>
    <s v="U268"/>
    <n v="32"/>
    <x v="0"/>
    <n v="4.5"/>
    <n v="7"/>
    <n v="6"/>
    <n v="1"/>
    <n v="2"/>
    <x v="1"/>
    <n v="8"/>
    <s v="26–35"/>
    <s v="Medium"/>
    <s v="Medium"/>
    <s v="High"/>
  </r>
  <r>
    <s v="U269"/>
    <n v="48"/>
    <x v="2"/>
    <n v="6.9"/>
    <n v="5"/>
    <n v="9"/>
    <n v="4"/>
    <n v="1"/>
    <x v="0"/>
    <n v="6"/>
    <s v="46+"/>
    <s v="High"/>
    <s v="High"/>
    <s v="Normal"/>
  </r>
  <r>
    <s v="U270"/>
    <n v="24"/>
    <x v="2"/>
    <n v="5.8"/>
    <n v="8"/>
    <n v="6"/>
    <n v="1"/>
    <n v="2"/>
    <x v="2"/>
    <n v="10"/>
    <s v="15–25"/>
    <s v="Medium"/>
    <s v="Medium"/>
    <s v="High"/>
  </r>
  <r>
    <s v="U271"/>
    <n v="44"/>
    <x v="2"/>
    <n v="6.5"/>
    <n v="5"/>
    <n v="6"/>
    <n v="2"/>
    <n v="3"/>
    <x v="5"/>
    <n v="8"/>
    <s v="36–45"/>
    <s v="High"/>
    <s v="Medium"/>
    <s v="High"/>
  </r>
  <r>
    <s v="U272"/>
    <n v="41"/>
    <x v="0"/>
    <n v="3.2"/>
    <n v="8"/>
    <n v="6"/>
    <n v="0"/>
    <n v="4"/>
    <x v="4"/>
    <n v="10"/>
    <s v="36–45"/>
    <s v="Medium"/>
    <s v="Medium"/>
    <s v="High"/>
  </r>
  <r>
    <s v="U273"/>
    <n v="40"/>
    <x v="2"/>
    <n v="8"/>
    <n v="5"/>
    <n v="8"/>
    <n v="3"/>
    <n v="3"/>
    <x v="3"/>
    <n v="6"/>
    <s v="36–45"/>
    <s v="High"/>
    <s v="High"/>
    <s v="Normal"/>
  </r>
  <r>
    <s v="U274"/>
    <n v="39"/>
    <x v="0"/>
    <n v="6.9"/>
    <n v="5"/>
    <n v="7"/>
    <n v="3"/>
    <n v="0"/>
    <x v="2"/>
    <n v="9"/>
    <s v="36–45"/>
    <s v="High"/>
    <s v="Medium"/>
    <s v="High"/>
  </r>
  <r>
    <s v="U275"/>
    <n v="28"/>
    <x v="2"/>
    <n v="6.2"/>
    <n v="3"/>
    <n v="8"/>
    <n v="0"/>
    <n v="3"/>
    <x v="3"/>
    <n v="5"/>
    <s v="26–35"/>
    <s v="High"/>
    <s v="High"/>
    <s v="Normal"/>
  </r>
  <r>
    <s v="U276"/>
    <n v="22"/>
    <x v="0"/>
    <n v="4.3"/>
    <n v="7"/>
    <n v="5"/>
    <n v="4"/>
    <n v="2"/>
    <x v="4"/>
    <n v="10"/>
    <s v="15–25"/>
    <s v="Medium"/>
    <s v="Medium"/>
    <s v="High"/>
  </r>
  <r>
    <s v="U277"/>
    <n v="35"/>
    <x v="0"/>
    <n v="6.1"/>
    <n v="7"/>
    <n v="8"/>
    <n v="3"/>
    <n v="5"/>
    <x v="3"/>
    <n v="9"/>
    <s v="26–35"/>
    <s v="High"/>
    <s v="High"/>
    <s v="High"/>
  </r>
  <r>
    <s v="U278"/>
    <n v="16"/>
    <x v="2"/>
    <n v="5"/>
    <n v="7"/>
    <n v="6"/>
    <n v="1"/>
    <n v="5"/>
    <x v="2"/>
    <n v="10"/>
    <s v="15–25"/>
    <s v="Medium"/>
    <s v="Medium"/>
    <s v="High"/>
  </r>
  <r>
    <s v="U279"/>
    <n v="23"/>
    <x v="0"/>
    <n v="2.5"/>
    <n v="9"/>
    <n v="5"/>
    <n v="7"/>
    <n v="5"/>
    <x v="4"/>
    <n v="10"/>
    <s v="15–25"/>
    <s v="Low"/>
    <s v="Medium"/>
    <s v="High"/>
  </r>
  <r>
    <s v="U280"/>
    <n v="31"/>
    <x v="0"/>
    <n v="5.4"/>
    <n v="5"/>
    <n v="8"/>
    <n v="5"/>
    <n v="2"/>
    <x v="5"/>
    <n v="7"/>
    <s v="26–35"/>
    <s v="Medium"/>
    <s v="High"/>
    <s v="Normal"/>
  </r>
  <r>
    <s v="U281"/>
    <n v="29"/>
    <x v="2"/>
    <n v="5.2"/>
    <n v="7"/>
    <n v="6"/>
    <n v="1"/>
    <n v="5"/>
    <x v="2"/>
    <n v="10"/>
    <s v="26–35"/>
    <s v="Medium"/>
    <s v="Medium"/>
    <s v="High"/>
  </r>
  <r>
    <s v="U282"/>
    <n v="27"/>
    <x v="2"/>
    <n v="7.4"/>
    <n v="4"/>
    <n v="9"/>
    <n v="5"/>
    <n v="3"/>
    <x v="0"/>
    <n v="5"/>
    <s v="26–35"/>
    <s v="High"/>
    <s v="High"/>
    <s v="Normal"/>
  </r>
  <r>
    <s v="U283"/>
    <n v="38"/>
    <x v="2"/>
    <n v="1.5"/>
    <n v="9"/>
    <n v="4"/>
    <n v="5"/>
    <n v="5"/>
    <x v="1"/>
    <n v="10"/>
    <s v="36–45"/>
    <s v="Low"/>
    <s v="Low"/>
    <s v="High"/>
  </r>
  <r>
    <s v="U284"/>
    <n v="30"/>
    <x v="2"/>
    <n v="5.9"/>
    <n v="6"/>
    <n v="9"/>
    <n v="3"/>
    <n v="2"/>
    <x v="2"/>
    <n v="7"/>
    <s v="26–35"/>
    <s v="Medium"/>
    <s v="High"/>
    <s v="Normal"/>
  </r>
  <r>
    <s v="U285"/>
    <n v="43"/>
    <x v="2"/>
    <n v="3.4"/>
    <n v="7"/>
    <n v="7"/>
    <n v="4"/>
    <n v="2"/>
    <x v="4"/>
    <n v="10"/>
    <s v="36–45"/>
    <s v="Medium"/>
    <s v="Medium"/>
    <s v="High"/>
  </r>
  <r>
    <s v="U286"/>
    <n v="49"/>
    <x v="0"/>
    <n v="6.1"/>
    <n v="5"/>
    <n v="6"/>
    <n v="4"/>
    <n v="3"/>
    <x v="1"/>
    <n v="9"/>
    <s v="46+"/>
    <s v="High"/>
    <s v="Medium"/>
    <s v="High"/>
  </r>
  <r>
    <s v="U287"/>
    <n v="17"/>
    <x v="0"/>
    <n v="6.2"/>
    <n v="6"/>
    <n v="8"/>
    <n v="0"/>
    <n v="3"/>
    <x v="2"/>
    <n v="7"/>
    <s v="15–25"/>
    <s v="High"/>
    <s v="High"/>
    <s v="Normal"/>
  </r>
  <r>
    <s v="U288"/>
    <n v="47"/>
    <x v="0"/>
    <n v="5.3"/>
    <n v="6"/>
    <n v="6"/>
    <n v="3"/>
    <n v="4"/>
    <x v="5"/>
    <n v="9"/>
    <s v="46+"/>
    <s v="Medium"/>
    <s v="Medium"/>
    <s v="High"/>
  </r>
  <r>
    <s v="U289"/>
    <n v="38"/>
    <x v="2"/>
    <n v="7"/>
    <n v="4"/>
    <n v="8"/>
    <n v="3"/>
    <n v="2"/>
    <x v="5"/>
    <n v="6"/>
    <s v="36–45"/>
    <s v="High"/>
    <s v="High"/>
    <s v="Normal"/>
  </r>
  <r>
    <s v="U290"/>
    <n v="37"/>
    <x v="2"/>
    <n v="3.3"/>
    <n v="7"/>
    <n v="5"/>
    <n v="6"/>
    <n v="4"/>
    <x v="0"/>
    <n v="9"/>
    <s v="36–45"/>
    <s v="Medium"/>
    <s v="Medium"/>
    <s v="High"/>
  </r>
  <r>
    <s v="U291"/>
    <n v="40"/>
    <x v="0"/>
    <n v="7.5"/>
    <n v="5"/>
    <n v="7"/>
    <n v="4"/>
    <n v="4"/>
    <x v="3"/>
    <n v="9"/>
    <s v="36–45"/>
    <s v="High"/>
    <s v="Medium"/>
    <s v="High"/>
  </r>
  <r>
    <s v="U292"/>
    <n v="37"/>
    <x v="0"/>
    <n v="4.2"/>
    <n v="9"/>
    <n v="7"/>
    <n v="2"/>
    <n v="2"/>
    <x v="1"/>
    <n v="8"/>
    <s v="36–45"/>
    <s v="Medium"/>
    <s v="Medium"/>
    <s v="High"/>
  </r>
  <r>
    <s v="U293"/>
    <n v="37"/>
    <x v="1"/>
    <n v="2.7"/>
    <n v="8"/>
    <n v="5"/>
    <n v="3"/>
    <n v="3"/>
    <x v="4"/>
    <n v="10"/>
    <s v="36–45"/>
    <s v="Low"/>
    <s v="Medium"/>
    <s v="High"/>
  </r>
  <r>
    <s v="U294"/>
    <n v="21"/>
    <x v="0"/>
    <n v="5"/>
    <n v="7"/>
    <n v="6"/>
    <n v="5"/>
    <n v="2"/>
    <x v="4"/>
    <n v="10"/>
    <s v="15–25"/>
    <s v="Medium"/>
    <s v="Medium"/>
    <s v="High"/>
  </r>
  <r>
    <s v="U295"/>
    <n v="30"/>
    <x v="2"/>
    <n v="1.7"/>
    <n v="9"/>
    <n v="4"/>
    <n v="3"/>
    <n v="6"/>
    <x v="3"/>
    <n v="10"/>
    <s v="26–35"/>
    <s v="Low"/>
    <s v="Low"/>
    <s v="High"/>
  </r>
  <r>
    <s v="U296"/>
    <n v="48"/>
    <x v="2"/>
    <n v="6"/>
    <n v="5"/>
    <n v="7"/>
    <n v="2"/>
    <n v="0"/>
    <x v="5"/>
    <n v="7"/>
    <s v="46+"/>
    <s v="Medium"/>
    <s v="Medium"/>
    <s v="Normal"/>
  </r>
  <r>
    <s v="U297"/>
    <n v="23"/>
    <x v="2"/>
    <n v="5"/>
    <n v="5"/>
    <n v="7"/>
    <n v="2"/>
    <n v="4"/>
    <x v="5"/>
    <n v="8"/>
    <s v="15–25"/>
    <s v="Medium"/>
    <s v="Medium"/>
    <s v="High"/>
  </r>
  <r>
    <s v="U298"/>
    <n v="20"/>
    <x v="0"/>
    <n v="7.7"/>
    <n v="4"/>
    <n v="8"/>
    <n v="5"/>
    <n v="0"/>
    <x v="2"/>
    <n v="5"/>
    <s v="15–25"/>
    <s v="High"/>
    <s v="High"/>
    <s v="Normal"/>
  </r>
  <r>
    <s v="U299"/>
    <n v="19"/>
    <x v="2"/>
    <n v="6.7"/>
    <n v="6"/>
    <n v="5"/>
    <n v="4"/>
    <n v="2"/>
    <x v="0"/>
    <n v="9"/>
    <s v="15–25"/>
    <s v="High"/>
    <s v="Medium"/>
    <s v="High"/>
  </r>
  <r>
    <s v="U300"/>
    <n v="21"/>
    <x v="2"/>
    <n v="3"/>
    <n v="8"/>
    <n v="5"/>
    <n v="3"/>
    <n v="2"/>
    <x v="1"/>
    <n v="10"/>
    <s v="15–25"/>
    <s v="Low"/>
    <s v="Medium"/>
    <s v="High"/>
  </r>
  <r>
    <s v="U301"/>
    <n v="47"/>
    <x v="2"/>
    <n v="4"/>
    <n v="8"/>
    <n v="4"/>
    <n v="3"/>
    <n v="5"/>
    <x v="0"/>
    <n v="10"/>
    <s v="46+"/>
    <s v="Medium"/>
    <s v="Low"/>
    <s v="High"/>
  </r>
  <r>
    <s v="U302"/>
    <n v="45"/>
    <x v="2"/>
    <n v="6.4"/>
    <n v="6"/>
    <n v="7"/>
    <n v="2"/>
    <n v="1"/>
    <x v="0"/>
    <n v="7"/>
    <s v="36–45"/>
    <s v="High"/>
    <s v="Medium"/>
    <s v="Normal"/>
  </r>
  <r>
    <s v="U303"/>
    <n v="31"/>
    <x v="2"/>
    <n v="7"/>
    <n v="5"/>
    <n v="6"/>
    <n v="3"/>
    <n v="4"/>
    <x v="2"/>
    <n v="8"/>
    <s v="26–35"/>
    <s v="High"/>
    <s v="Medium"/>
    <s v="High"/>
  </r>
  <r>
    <s v="U304"/>
    <n v="28"/>
    <x v="2"/>
    <n v="7.7"/>
    <n v="4"/>
    <n v="7"/>
    <n v="2"/>
    <n v="1"/>
    <x v="0"/>
    <n v="7"/>
    <s v="26–35"/>
    <s v="High"/>
    <s v="Medium"/>
    <s v="Normal"/>
  </r>
  <r>
    <s v="U305"/>
    <n v="45"/>
    <x v="0"/>
    <n v="7.7"/>
    <n v="6"/>
    <n v="9"/>
    <n v="2"/>
    <n v="5"/>
    <x v="3"/>
    <n v="6"/>
    <s v="36–45"/>
    <s v="High"/>
    <s v="High"/>
    <s v="Normal"/>
  </r>
  <r>
    <s v="U306"/>
    <n v="34"/>
    <x v="2"/>
    <n v="5.3"/>
    <n v="6"/>
    <n v="6"/>
    <n v="6"/>
    <n v="2"/>
    <x v="2"/>
    <n v="10"/>
    <s v="26–35"/>
    <s v="Medium"/>
    <s v="Medium"/>
    <s v="High"/>
  </r>
  <r>
    <s v="U307"/>
    <n v="32"/>
    <x v="2"/>
    <n v="6.2"/>
    <n v="5"/>
    <n v="7"/>
    <n v="1"/>
    <n v="3"/>
    <x v="3"/>
    <n v="7"/>
    <s v="26–35"/>
    <s v="High"/>
    <s v="Medium"/>
    <s v="Normal"/>
  </r>
  <r>
    <s v="U308"/>
    <n v="34"/>
    <x v="0"/>
    <n v="7.8"/>
    <n v="5"/>
    <n v="9"/>
    <n v="2"/>
    <n v="2"/>
    <x v="2"/>
    <n v="6"/>
    <s v="26–35"/>
    <s v="High"/>
    <s v="High"/>
    <s v="Normal"/>
  </r>
  <r>
    <s v="U309"/>
    <n v="43"/>
    <x v="2"/>
    <n v="5"/>
    <n v="5"/>
    <n v="6"/>
    <n v="0"/>
    <n v="4"/>
    <x v="0"/>
    <n v="8"/>
    <s v="36–45"/>
    <s v="Medium"/>
    <s v="Medium"/>
    <s v="High"/>
  </r>
  <r>
    <s v="U310"/>
    <n v="41"/>
    <x v="2"/>
    <n v="6.2"/>
    <n v="8"/>
    <n v="9"/>
    <n v="0"/>
    <n v="4"/>
    <x v="3"/>
    <n v="7"/>
    <s v="36–45"/>
    <s v="High"/>
    <s v="High"/>
    <s v="Normal"/>
  </r>
  <r>
    <s v="U311"/>
    <n v="41"/>
    <x v="2"/>
    <n v="4.9000000000000004"/>
    <n v="7"/>
    <n v="6"/>
    <n v="3"/>
    <n v="3"/>
    <x v="3"/>
    <n v="9"/>
    <s v="36–45"/>
    <s v="Medium"/>
    <s v="Medium"/>
    <s v="High"/>
  </r>
  <r>
    <s v="U312"/>
    <n v="38"/>
    <x v="0"/>
    <n v="4.5"/>
    <n v="7"/>
    <n v="6"/>
    <n v="2"/>
    <n v="1"/>
    <x v="3"/>
    <n v="9"/>
    <s v="36–45"/>
    <s v="Medium"/>
    <s v="Medium"/>
    <s v="High"/>
  </r>
  <r>
    <s v="U313"/>
    <n v="24"/>
    <x v="0"/>
    <n v="5.6"/>
    <n v="5"/>
    <n v="8"/>
    <n v="7"/>
    <n v="1"/>
    <x v="2"/>
    <n v="7"/>
    <s v="15–25"/>
    <s v="Medium"/>
    <s v="High"/>
    <s v="Normal"/>
  </r>
  <r>
    <s v="U314"/>
    <n v="27"/>
    <x v="1"/>
    <n v="4.3"/>
    <n v="7"/>
    <n v="7"/>
    <n v="2"/>
    <n v="1"/>
    <x v="4"/>
    <n v="8"/>
    <s v="26–35"/>
    <s v="Medium"/>
    <s v="Medium"/>
    <s v="High"/>
  </r>
  <r>
    <s v="U315"/>
    <n v="16"/>
    <x v="2"/>
    <n v="5.3"/>
    <n v="6"/>
    <n v="6"/>
    <n v="6"/>
    <n v="0"/>
    <x v="0"/>
    <n v="9"/>
    <s v="15–25"/>
    <s v="Medium"/>
    <s v="Medium"/>
    <s v="High"/>
  </r>
  <r>
    <s v="U316"/>
    <n v="16"/>
    <x v="0"/>
    <n v="3.6"/>
    <n v="7"/>
    <n v="5"/>
    <n v="5"/>
    <n v="4"/>
    <x v="3"/>
    <n v="10"/>
    <s v="15–25"/>
    <s v="Medium"/>
    <s v="Medium"/>
    <s v="High"/>
  </r>
  <r>
    <s v="U317"/>
    <n v="49"/>
    <x v="2"/>
    <n v="5.2"/>
    <n v="7"/>
    <n v="8"/>
    <n v="3"/>
    <n v="2"/>
    <x v="1"/>
    <n v="8"/>
    <s v="46+"/>
    <s v="Medium"/>
    <s v="High"/>
    <s v="High"/>
  </r>
  <r>
    <s v="U318"/>
    <n v="47"/>
    <x v="2"/>
    <n v="6.3"/>
    <n v="5"/>
    <n v="8"/>
    <n v="7"/>
    <n v="2"/>
    <x v="4"/>
    <n v="8"/>
    <s v="46+"/>
    <s v="High"/>
    <s v="High"/>
    <s v="High"/>
  </r>
  <r>
    <s v="U319"/>
    <n v="40"/>
    <x v="2"/>
    <n v="4.4000000000000004"/>
    <n v="8"/>
    <n v="7"/>
    <n v="4"/>
    <n v="5"/>
    <x v="1"/>
    <n v="8"/>
    <s v="36–45"/>
    <s v="Medium"/>
    <s v="Medium"/>
    <s v="High"/>
  </r>
  <r>
    <s v="U320"/>
    <n v="16"/>
    <x v="2"/>
    <n v="5.5"/>
    <n v="9"/>
    <n v="5"/>
    <n v="6"/>
    <n v="2"/>
    <x v="0"/>
    <n v="10"/>
    <s v="15–25"/>
    <s v="Medium"/>
    <s v="Medium"/>
    <s v="High"/>
  </r>
  <r>
    <s v="U321"/>
    <n v="31"/>
    <x v="0"/>
    <n v="5.8"/>
    <n v="6"/>
    <n v="8"/>
    <n v="6"/>
    <n v="1"/>
    <x v="0"/>
    <n v="7"/>
    <s v="26–35"/>
    <s v="Medium"/>
    <s v="High"/>
    <s v="Normal"/>
  </r>
  <r>
    <s v="U322"/>
    <n v="20"/>
    <x v="0"/>
    <n v="6.3"/>
    <n v="6"/>
    <n v="6"/>
    <n v="4"/>
    <n v="2"/>
    <x v="3"/>
    <n v="8"/>
    <s v="15–25"/>
    <s v="High"/>
    <s v="Medium"/>
    <s v="High"/>
  </r>
  <r>
    <s v="U323"/>
    <n v="37"/>
    <x v="0"/>
    <n v="5.3"/>
    <n v="7"/>
    <n v="7"/>
    <n v="5"/>
    <n v="1"/>
    <x v="3"/>
    <n v="8"/>
    <s v="36–45"/>
    <s v="Medium"/>
    <s v="Medium"/>
    <s v="High"/>
  </r>
  <r>
    <s v="U324"/>
    <n v="44"/>
    <x v="2"/>
    <n v="7.5"/>
    <n v="7"/>
    <n v="8"/>
    <n v="4"/>
    <n v="3"/>
    <x v="2"/>
    <n v="9"/>
    <s v="36–45"/>
    <s v="High"/>
    <s v="High"/>
    <s v="High"/>
  </r>
  <r>
    <s v="U325"/>
    <n v="18"/>
    <x v="0"/>
    <n v="1.7"/>
    <n v="9"/>
    <n v="3"/>
    <n v="1"/>
    <n v="2"/>
    <x v="4"/>
    <n v="10"/>
    <s v="15–25"/>
    <s v="Low"/>
    <s v="Low"/>
    <s v="High"/>
  </r>
  <r>
    <s v="U326"/>
    <n v="27"/>
    <x v="0"/>
    <n v="10.8"/>
    <n v="2"/>
    <n v="9"/>
    <n v="3"/>
    <n v="2"/>
    <x v="4"/>
    <n v="5"/>
    <s v="26–35"/>
    <s v="High"/>
    <s v="High"/>
    <s v="Normal"/>
  </r>
  <r>
    <s v="U327"/>
    <n v="41"/>
    <x v="0"/>
    <n v="3.9"/>
    <n v="6"/>
    <n v="4"/>
    <n v="5"/>
    <n v="2"/>
    <x v="3"/>
    <n v="9"/>
    <s v="36–45"/>
    <s v="Medium"/>
    <s v="Low"/>
    <s v="High"/>
  </r>
  <r>
    <s v="U328"/>
    <n v="31"/>
    <x v="2"/>
    <n v="6.2"/>
    <n v="6"/>
    <n v="7"/>
    <n v="6"/>
    <n v="2"/>
    <x v="0"/>
    <n v="8"/>
    <s v="26–35"/>
    <s v="High"/>
    <s v="Medium"/>
    <s v="High"/>
  </r>
  <r>
    <s v="U329"/>
    <n v="37"/>
    <x v="2"/>
    <n v="3.8"/>
    <n v="7"/>
    <n v="4"/>
    <n v="2"/>
    <n v="3"/>
    <x v="3"/>
    <n v="10"/>
    <s v="36–45"/>
    <s v="Medium"/>
    <s v="Low"/>
    <s v="High"/>
  </r>
  <r>
    <s v="U330"/>
    <n v="44"/>
    <x v="0"/>
    <n v="6.7"/>
    <n v="8"/>
    <n v="6"/>
    <n v="4"/>
    <n v="2"/>
    <x v="0"/>
    <n v="10"/>
    <s v="36–45"/>
    <s v="High"/>
    <s v="Medium"/>
    <s v="High"/>
  </r>
  <r>
    <s v="U331"/>
    <n v="29"/>
    <x v="0"/>
    <n v="6"/>
    <n v="8"/>
    <n v="7"/>
    <n v="3"/>
    <n v="2"/>
    <x v="0"/>
    <n v="7"/>
    <s v="26–35"/>
    <s v="Medium"/>
    <s v="Medium"/>
    <s v="Normal"/>
  </r>
  <r>
    <s v="U332"/>
    <n v="43"/>
    <x v="2"/>
    <n v="4.3"/>
    <n v="6"/>
    <n v="3"/>
    <n v="3"/>
    <n v="2"/>
    <x v="3"/>
    <n v="10"/>
    <s v="36–45"/>
    <s v="Medium"/>
    <s v="Low"/>
    <s v="High"/>
  </r>
  <r>
    <s v="U333"/>
    <n v="20"/>
    <x v="0"/>
    <n v="7.4"/>
    <n v="4"/>
    <n v="9"/>
    <n v="4"/>
    <n v="2"/>
    <x v="5"/>
    <n v="6"/>
    <s v="15–25"/>
    <s v="High"/>
    <s v="High"/>
    <s v="Normal"/>
  </r>
  <r>
    <s v="U334"/>
    <n v="45"/>
    <x v="0"/>
    <n v="5.2"/>
    <n v="7"/>
    <n v="4"/>
    <n v="3"/>
    <n v="3"/>
    <x v="4"/>
    <n v="10"/>
    <s v="36–45"/>
    <s v="Medium"/>
    <s v="Low"/>
    <s v="High"/>
  </r>
  <r>
    <s v="U335"/>
    <n v="20"/>
    <x v="0"/>
    <n v="6.5"/>
    <n v="7"/>
    <n v="7"/>
    <n v="4"/>
    <n v="1"/>
    <x v="1"/>
    <n v="7"/>
    <s v="15–25"/>
    <s v="High"/>
    <s v="Medium"/>
    <s v="Normal"/>
  </r>
  <r>
    <s v="U336"/>
    <n v="27"/>
    <x v="0"/>
    <n v="3.8"/>
    <n v="8"/>
    <n v="6"/>
    <n v="6"/>
    <n v="4"/>
    <x v="0"/>
    <n v="10"/>
    <s v="26–35"/>
    <s v="Medium"/>
    <s v="Medium"/>
    <s v="High"/>
  </r>
  <r>
    <s v="U337"/>
    <n v="31"/>
    <x v="0"/>
    <n v="5.4"/>
    <n v="6"/>
    <n v="7"/>
    <n v="5"/>
    <n v="3"/>
    <x v="0"/>
    <n v="8"/>
    <s v="26–35"/>
    <s v="Medium"/>
    <s v="Medium"/>
    <s v="High"/>
  </r>
  <r>
    <s v="U338"/>
    <n v="41"/>
    <x v="2"/>
    <n v="9.1"/>
    <n v="4"/>
    <n v="9"/>
    <n v="4"/>
    <n v="2"/>
    <x v="5"/>
    <n v="7"/>
    <s v="36–45"/>
    <s v="High"/>
    <s v="High"/>
    <s v="Normal"/>
  </r>
  <r>
    <s v="U339"/>
    <n v="41"/>
    <x v="0"/>
    <n v="7.2"/>
    <n v="5"/>
    <n v="10"/>
    <n v="7"/>
    <n v="3"/>
    <x v="1"/>
    <n v="7"/>
    <s v="36–45"/>
    <s v="High"/>
    <s v="High"/>
    <s v="Normal"/>
  </r>
  <r>
    <s v="U340"/>
    <n v="36"/>
    <x v="2"/>
    <n v="6.1"/>
    <n v="7"/>
    <n v="7"/>
    <n v="5"/>
    <n v="2"/>
    <x v="2"/>
    <n v="9"/>
    <s v="36–45"/>
    <s v="High"/>
    <s v="Medium"/>
    <s v="High"/>
  </r>
  <r>
    <s v="U341"/>
    <n v="48"/>
    <x v="0"/>
    <n v="4.7"/>
    <n v="6"/>
    <n v="7"/>
    <n v="3"/>
    <n v="0"/>
    <x v="5"/>
    <n v="8"/>
    <s v="46+"/>
    <s v="Medium"/>
    <s v="Medium"/>
    <s v="High"/>
  </r>
  <r>
    <s v="U342"/>
    <n v="45"/>
    <x v="2"/>
    <n v="5.6"/>
    <n v="6"/>
    <n v="6"/>
    <n v="1"/>
    <n v="3"/>
    <x v="1"/>
    <n v="7"/>
    <s v="36–45"/>
    <s v="Medium"/>
    <s v="Medium"/>
    <s v="Normal"/>
  </r>
  <r>
    <s v="U343"/>
    <n v="38"/>
    <x v="2"/>
    <n v="5.9"/>
    <n v="7"/>
    <n v="7"/>
    <n v="1"/>
    <n v="1"/>
    <x v="5"/>
    <n v="8"/>
    <s v="36–45"/>
    <s v="Medium"/>
    <s v="Medium"/>
    <s v="High"/>
  </r>
  <r>
    <s v="U344"/>
    <n v="25"/>
    <x v="0"/>
    <n v="6.3"/>
    <n v="5"/>
    <n v="9"/>
    <n v="5"/>
    <n v="4"/>
    <x v="0"/>
    <n v="8"/>
    <s v="15–25"/>
    <s v="High"/>
    <s v="High"/>
    <s v="High"/>
  </r>
  <r>
    <s v="U345"/>
    <n v="20"/>
    <x v="2"/>
    <n v="3.6"/>
    <n v="6"/>
    <n v="5"/>
    <n v="2"/>
    <n v="2"/>
    <x v="4"/>
    <n v="10"/>
    <s v="15–25"/>
    <s v="Medium"/>
    <s v="Medium"/>
    <s v="High"/>
  </r>
  <r>
    <s v="U346"/>
    <n v="49"/>
    <x v="0"/>
    <n v="6.7"/>
    <n v="6"/>
    <n v="8"/>
    <n v="1"/>
    <n v="4"/>
    <x v="5"/>
    <n v="8"/>
    <s v="46+"/>
    <s v="High"/>
    <s v="High"/>
    <s v="High"/>
  </r>
  <r>
    <s v="U347"/>
    <n v="46"/>
    <x v="1"/>
    <n v="3.5"/>
    <n v="7"/>
    <n v="6"/>
    <n v="1"/>
    <n v="2"/>
    <x v="2"/>
    <n v="10"/>
    <s v="46+"/>
    <s v="Medium"/>
    <s v="Medium"/>
    <s v="High"/>
  </r>
  <r>
    <s v="U348"/>
    <n v="25"/>
    <x v="0"/>
    <n v="8.4"/>
    <n v="5"/>
    <n v="8"/>
    <n v="2"/>
    <n v="3"/>
    <x v="3"/>
    <n v="8"/>
    <s v="15–25"/>
    <s v="High"/>
    <s v="High"/>
    <s v="High"/>
  </r>
  <r>
    <s v="U349"/>
    <n v="34"/>
    <x v="0"/>
    <n v="4.0999999999999996"/>
    <n v="8"/>
    <n v="4"/>
    <n v="5"/>
    <n v="4"/>
    <x v="1"/>
    <n v="10"/>
    <s v="26–35"/>
    <s v="Medium"/>
    <s v="Low"/>
    <s v="High"/>
  </r>
  <r>
    <s v="U350"/>
    <n v="47"/>
    <x v="0"/>
    <n v="6"/>
    <n v="6"/>
    <n v="7"/>
    <n v="3"/>
    <n v="2"/>
    <x v="5"/>
    <n v="8"/>
    <s v="46+"/>
    <s v="Medium"/>
    <s v="Medium"/>
    <s v="High"/>
  </r>
  <r>
    <s v="U351"/>
    <n v="16"/>
    <x v="1"/>
    <n v="7.3"/>
    <n v="5"/>
    <n v="9"/>
    <n v="0"/>
    <n v="2"/>
    <x v="5"/>
    <n v="8"/>
    <s v="15–25"/>
    <s v="High"/>
    <s v="High"/>
    <s v="High"/>
  </r>
  <r>
    <s v="U352"/>
    <n v="20"/>
    <x v="2"/>
    <n v="5"/>
    <n v="6"/>
    <n v="5"/>
    <n v="3"/>
    <n v="3"/>
    <x v="2"/>
    <n v="9"/>
    <s v="15–25"/>
    <s v="Medium"/>
    <s v="Medium"/>
    <s v="High"/>
  </r>
  <r>
    <s v="U353"/>
    <n v="19"/>
    <x v="2"/>
    <n v="6.1"/>
    <n v="6"/>
    <n v="8"/>
    <n v="3"/>
    <n v="3"/>
    <x v="4"/>
    <n v="9"/>
    <s v="15–25"/>
    <s v="High"/>
    <s v="High"/>
    <s v="High"/>
  </r>
  <r>
    <s v="U354"/>
    <n v="31"/>
    <x v="0"/>
    <n v="8.1"/>
    <n v="5"/>
    <n v="9"/>
    <n v="2"/>
    <n v="2"/>
    <x v="5"/>
    <n v="6"/>
    <s v="26–35"/>
    <s v="High"/>
    <s v="High"/>
    <s v="Normal"/>
  </r>
  <r>
    <s v="U355"/>
    <n v="39"/>
    <x v="2"/>
    <n v="6.5"/>
    <n v="5"/>
    <n v="5"/>
    <n v="5"/>
    <n v="0"/>
    <x v="5"/>
    <n v="10"/>
    <s v="36–45"/>
    <s v="High"/>
    <s v="Medium"/>
    <s v="High"/>
  </r>
  <r>
    <s v="U356"/>
    <n v="31"/>
    <x v="0"/>
    <n v="6.1"/>
    <n v="6"/>
    <n v="6"/>
    <n v="2"/>
    <n v="2"/>
    <x v="4"/>
    <n v="8"/>
    <s v="26–35"/>
    <s v="High"/>
    <s v="Medium"/>
    <s v="High"/>
  </r>
  <r>
    <s v="U357"/>
    <n v="17"/>
    <x v="2"/>
    <n v="2.5"/>
    <n v="9"/>
    <n v="4"/>
    <n v="5"/>
    <n v="4"/>
    <x v="2"/>
    <n v="10"/>
    <s v="15–25"/>
    <s v="Low"/>
    <s v="Low"/>
    <s v="High"/>
  </r>
  <r>
    <s v="U358"/>
    <n v="43"/>
    <x v="0"/>
    <n v="3.8"/>
    <n v="8"/>
    <n v="5"/>
    <n v="4"/>
    <n v="1"/>
    <x v="1"/>
    <n v="10"/>
    <s v="36–45"/>
    <s v="Medium"/>
    <s v="Medium"/>
    <s v="High"/>
  </r>
  <r>
    <s v="U359"/>
    <n v="47"/>
    <x v="0"/>
    <n v="7.4"/>
    <n v="6"/>
    <n v="7"/>
    <n v="5"/>
    <n v="2"/>
    <x v="1"/>
    <n v="7"/>
    <s v="46+"/>
    <s v="High"/>
    <s v="Medium"/>
    <s v="Normal"/>
  </r>
  <r>
    <s v="U360"/>
    <n v="42"/>
    <x v="0"/>
    <n v="6.5"/>
    <n v="5"/>
    <n v="7"/>
    <n v="1"/>
    <n v="2"/>
    <x v="5"/>
    <n v="8"/>
    <s v="36–45"/>
    <s v="High"/>
    <s v="Medium"/>
    <s v="High"/>
  </r>
  <r>
    <s v="U361"/>
    <n v="35"/>
    <x v="2"/>
    <n v="6.8"/>
    <n v="4"/>
    <n v="9"/>
    <n v="3"/>
    <n v="0"/>
    <x v="4"/>
    <n v="7"/>
    <s v="26–35"/>
    <s v="High"/>
    <s v="High"/>
    <s v="Normal"/>
  </r>
  <r>
    <s v="U362"/>
    <n v="39"/>
    <x v="2"/>
    <n v="6.6"/>
    <n v="6"/>
    <n v="7"/>
    <n v="3"/>
    <n v="1"/>
    <x v="5"/>
    <n v="7"/>
    <s v="36–45"/>
    <s v="High"/>
    <s v="Medium"/>
    <s v="Normal"/>
  </r>
  <r>
    <s v="U363"/>
    <n v="27"/>
    <x v="0"/>
    <n v="7.8"/>
    <n v="5"/>
    <n v="8"/>
    <n v="0"/>
    <n v="4"/>
    <x v="3"/>
    <n v="6"/>
    <s v="26–35"/>
    <s v="High"/>
    <s v="High"/>
    <s v="Normal"/>
  </r>
  <r>
    <s v="U364"/>
    <n v="48"/>
    <x v="2"/>
    <n v="5"/>
    <n v="8"/>
    <n v="6"/>
    <n v="5"/>
    <n v="0"/>
    <x v="1"/>
    <n v="10"/>
    <s v="46+"/>
    <s v="Medium"/>
    <s v="Medium"/>
    <s v="High"/>
  </r>
  <r>
    <s v="U365"/>
    <n v="48"/>
    <x v="0"/>
    <n v="5.7"/>
    <n v="7"/>
    <n v="7"/>
    <n v="1"/>
    <n v="3"/>
    <x v="0"/>
    <n v="9"/>
    <s v="46+"/>
    <s v="Medium"/>
    <s v="Medium"/>
    <s v="High"/>
  </r>
  <r>
    <s v="U366"/>
    <n v="27"/>
    <x v="2"/>
    <n v="3.6"/>
    <n v="8"/>
    <n v="5"/>
    <n v="2"/>
    <n v="1"/>
    <x v="3"/>
    <n v="10"/>
    <s v="26–35"/>
    <s v="Medium"/>
    <s v="Medium"/>
    <s v="High"/>
  </r>
  <r>
    <s v="U367"/>
    <n v="18"/>
    <x v="0"/>
    <n v="3.2"/>
    <n v="9"/>
    <n v="5"/>
    <n v="1"/>
    <n v="3"/>
    <x v="5"/>
    <n v="10"/>
    <s v="15–25"/>
    <s v="Medium"/>
    <s v="Medium"/>
    <s v="High"/>
  </r>
  <r>
    <s v="U368"/>
    <n v="16"/>
    <x v="0"/>
    <n v="2.5"/>
    <n v="8"/>
    <n v="4"/>
    <n v="4"/>
    <n v="4"/>
    <x v="2"/>
    <n v="10"/>
    <s v="15–25"/>
    <s v="Low"/>
    <s v="Low"/>
    <s v="High"/>
  </r>
  <r>
    <s v="U369"/>
    <n v="48"/>
    <x v="2"/>
    <n v="3.9"/>
    <n v="6"/>
    <n v="5"/>
    <n v="0"/>
    <n v="2"/>
    <x v="1"/>
    <n v="10"/>
    <s v="46+"/>
    <s v="Medium"/>
    <s v="Medium"/>
    <s v="High"/>
  </r>
  <r>
    <s v="U370"/>
    <n v="25"/>
    <x v="0"/>
    <n v="8.3000000000000007"/>
    <n v="5"/>
    <n v="8"/>
    <n v="4"/>
    <n v="2"/>
    <x v="0"/>
    <n v="7"/>
    <s v="15–25"/>
    <s v="High"/>
    <s v="High"/>
    <s v="Normal"/>
  </r>
  <r>
    <s v="U371"/>
    <n v="44"/>
    <x v="0"/>
    <n v="2.7"/>
    <n v="9"/>
    <n v="5"/>
    <n v="5"/>
    <n v="1"/>
    <x v="3"/>
    <n v="10"/>
    <s v="36–45"/>
    <s v="Low"/>
    <s v="Medium"/>
    <s v="High"/>
  </r>
  <r>
    <s v="U372"/>
    <n v="28"/>
    <x v="2"/>
    <n v="5"/>
    <n v="7"/>
    <n v="5"/>
    <n v="4"/>
    <n v="0"/>
    <x v="1"/>
    <n v="9"/>
    <s v="26–35"/>
    <s v="Medium"/>
    <s v="Medium"/>
    <s v="High"/>
  </r>
  <r>
    <s v="U373"/>
    <n v="27"/>
    <x v="1"/>
    <n v="3.2"/>
    <n v="9"/>
    <n v="6"/>
    <n v="4"/>
    <n v="5"/>
    <x v="4"/>
    <n v="10"/>
    <s v="26–35"/>
    <s v="Medium"/>
    <s v="Medium"/>
    <s v="High"/>
  </r>
  <r>
    <s v="U374"/>
    <n v="46"/>
    <x v="0"/>
    <n v="4.4000000000000004"/>
    <n v="7"/>
    <n v="7"/>
    <n v="5"/>
    <n v="1"/>
    <x v="2"/>
    <n v="8"/>
    <s v="46+"/>
    <s v="Medium"/>
    <s v="Medium"/>
    <s v="High"/>
  </r>
  <r>
    <s v="U375"/>
    <n v="17"/>
    <x v="0"/>
    <n v="5.8"/>
    <n v="6"/>
    <n v="7"/>
    <n v="1"/>
    <n v="5"/>
    <x v="3"/>
    <n v="9"/>
    <s v="15–25"/>
    <s v="Medium"/>
    <s v="Medium"/>
    <s v="High"/>
  </r>
  <r>
    <s v="U376"/>
    <n v="38"/>
    <x v="2"/>
    <n v="4.2"/>
    <n v="8"/>
    <n v="5"/>
    <n v="6"/>
    <n v="1"/>
    <x v="4"/>
    <n v="10"/>
    <s v="36–45"/>
    <s v="Medium"/>
    <s v="Medium"/>
    <s v="High"/>
  </r>
  <r>
    <s v="U377"/>
    <n v="32"/>
    <x v="0"/>
    <n v="7.5"/>
    <n v="4"/>
    <n v="7"/>
    <n v="2"/>
    <n v="3"/>
    <x v="5"/>
    <n v="6"/>
    <s v="26–35"/>
    <s v="High"/>
    <s v="Medium"/>
    <s v="Normal"/>
  </r>
  <r>
    <s v="U378"/>
    <n v="41"/>
    <x v="0"/>
    <n v="8.3000000000000007"/>
    <n v="4"/>
    <n v="10"/>
    <n v="3"/>
    <n v="1"/>
    <x v="4"/>
    <n v="6"/>
    <s v="36–45"/>
    <s v="High"/>
    <s v="High"/>
    <s v="Normal"/>
  </r>
  <r>
    <s v="U379"/>
    <n v="23"/>
    <x v="0"/>
    <n v="1.5"/>
    <n v="9"/>
    <n v="3"/>
    <n v="2"/>
    <n v="3"/>
    <x v="3"/>
    <n v="10"/>
    <s v="15–25"/>
    <s v="Low"/>
    <s v="Low"/>
    <s v="High"/>
  </r>
  <r>
    <s v="U380"/>
    <n v="44"/>
    <x v="2"/>
    <n v="4.3"/>
    <n v="8"/>
    <n v="7"/>
    <n v="4"/>
    <n v="2"/>
    <x v="3"/>
    <n v="10"/>
    <s v="36–45"/>
    <s v="Medium"/>
    <s v="Medium"/>
    <s v="High"/>
  </r>
  <r>
    <s v="U381"/>
    <n v="41"/>
    <x v="2"/>
    <n v="5.6"/>
    <n v="6"/>
    <n v="7"/>
    <n v="2"/>
    <n v="2"/>
    <x v="5"/>
    <n v="9"/>
    <s v="36–45"/>
    <s v="Medium"/>
    <s v="Medium"/>
    <s v="High"/>
  </r>
  <r>
    <s v="U382"/>
    <n v="25"/>
    <x v="0"/>
    <n v="7.5"/>
    <n v="4"/>
    <n v="8"/>
    <n v="3"/>
    <n v="3"/>
    <x v="4"/>
    <n v="7"/>
    <s v="15–25"/>
    <s v="High"/>
    <s v="High"/>
    <s v="Normal"/>
  </r>
  <r>
    <s v="U383"/>
    <n v="41"/>
    <x v="0"/>
    <n v="4.7"/>
    <n v="6"/>
    <n v="6"/>
    <n v="1"/>
    <n v="2"/>
    <x v="4"/>
    <n v="9"/>
    <s v="36–45"/>
    <s v="Medium"/>
    <s v="Medium"/>
    <s v="High"/>
  </r>
  <r>
    <s v="U384"/>
    <n v="49"/>
    <x v="0"/>
    <n v="5.5"/>
    <n v="7"/>
    <n v="5"/>
    <n v="5"/>
    <n v="0"/>
    <x v="5"/>
    <n v="10"/>
    <s v="46+"/>
    <s v="Medium"/>
    <s v="Medium"/>
    <s v="High"/>
  </r>
  <r>
    <s v="U385"/>
    <n v="22"/>
    <x v="2"/>
    <n v="3.4"/>
    <n v="8"/>
    <n v="6"/>
    <n v="4"/>
    <n v="4"/>
    <x v="4"/>
    <n v="10"/>
    <s v="15–25"/>
    <s v="Medium"/>
    <s v="Medium"/>
    <s v="High"/>
  </r>
  <r>
    <s v="U386"/>
    <n v="19"/>
    <x v="0"/>
    <n v="2.7"/>
    <n v="8"/>
    <n v="5"/>
    <n v="2"/>
    <n v="1"/>
    <x v="1"/>
    <n v="9"/>
    <s v="15–25"/>
    <s v="Low"/>
    <s v="Medium"/>
    <s v="High"/>
  </r>
  <r>
    <s v="U387"/>
    <n v="26"/>
    <x v="0"/>
    <n v="8.1"/>
    <n v="5"/>
    <n v="7"/>
    <n v="2"/>
    <n v="3"/>
    <x v="5"/>
    <n v="7"/>
    <s v="26–35"/>
    <s v="High"/>
    <s v="Medium"/>
    <s v="Normal"/>
  </r>
  <r>
    <s v="U388"/>
    <n v="44"/>
    <x v="2"/>
    <n v="2.2000000000000002"/>
    <n v="9"/>
    <n v="4"/>
    <n v="4"/>
    <n v="4"/>
    <x v="2"/>
    <n v="10"/>
    <s v="36–45"/>
    <s v="Low"/>
    <s v="Low"/>
    <s v="High"/>
  </r>
  <r>
    <s v="U389"/>
    <n v="40"/>
    <x v="0"/>
    <n v="9.6999999999999993"/>
    <n v="4"/>
    <n v="10"/>
    <n v="2"/>
    <n v="2"/>
    <x v="3"/>
    <n v="6"/>
    <s v="36–45"/>
    <s v="High"/>
    <s v="High"/>
    <s v="Normal"/>
  </r>
  <r>
    <s v="U390"/>
    <n v="36"/>
    <x v="2"/>
    <n v="6.8"/>
    <n v="5"/>
    <n v="8"/>
    <n v="3"/>
    <n v="4"/>
    <x v="2"/>
    <n v="8"/>
    <s v="36–45"/>
    <s v="High"/>
    <s v="High"/>
    <s v="High"/>
  </r>
  <r>
    <s v="U391"/>
    <n v="25"/>
    <x v="0"/>
    <n v="6.7"/>
    <n v="7"/>
    <n v="7"/>
    <n v="5"/>
    <n v="3"/>
    <x v="1"/>
    <n v="8"/>
    <s v="15–25"/>
    <s v="High"/>
    <s v="Medium"/>
    <s v="High"/>
  </r>
  <r>
    <s v="U392"/>
    <n v="24"/>
    <x v="0"/>
    <n v="6.5"/>
    <n v="7"/>
    <n v="6"/>
    <n v="1"/>
    <n v="1"/>
    <x v="1"/>
    <n v="7"/>
    <s v="15–25"/>
    <s v="High"/>
    <s v="Medium"/>
    <s v="Normal"/>
  </r>
  <r>
    <s v="U393"/>
    <n v="39"/>
    <x v="0"/>
    <n v="5"/>
    <n v="5"/>
    <n v="6"/>
    <n v="4"/>
    <n v="5"/>
    <x v="0"/>
    <n v="8"/>
    <s v="36–45"/>
    <s v="Medium"/>
    <s v="Medium"/>
    <s v="High"/>
  </r>
  <r>
    <s v="U394"/>
    <n v="33"/>
    <x v="2"/>
    <n v="6.2"/>
    <n v="6"/>
    <n v="7"/>
    <n v="4"/>
    <n v="1"/>
    <x v="0"/>
    <n v="9"/>
    <s v="26–35"/>
    <s v="High"/>
    <s v="Medium"/>
    <s v="High"/>
  </r>
  <r>
    <s v="U395"/>
    <n v="47"/>
    <x v="2"/>
    <n v="5.2"/>
    <n v="7"/>
    <n v="7"/>
    <n v="3"/>
    <n v="2"/>
    <x v="0"/>
    <n v="9"/>
    <s v="46+"/>
    <s v="Medium"/>
    <s v="Medium"/>
    <s v="High"/>
  </r>
  <r>
    <s v="U396"/>
    <n v="39"/>
    <x v="2"/>
    <n v="6.5"/>
    <n v="5"/>
    <n v="7"/>
    <n v="2"/>
    <n v="2"/>
    <x v="5"/>
    <n v="8"/>
    <s v="36–45"/>
    <s v="High"/>
    <s v="Medium"/>
    <s v="High"/>
  </r>
  <r>
    <s v="U397"/>
    <n v="38"/>
    <x v="0"/>
    <n v="5.4"/>
    <n v="8"/>
    <n v="9"/>
    <n v="5"/>
    <n v="3"/>
    <x v="4"/>
    <n v="8"/>
    <s v="36–45"/>
    <s v="Medium"/>
    <s v="High"/>
    <s v="High"/>
  </r>
  <r>
    <s v="U398"/>
    <n v="47"/>
    <x v="2"/>
    <n v="3.8"/>
    <n v="8"/>
    <n v="4"/>
    <n v="2"/>
    <n v="4"/>
    <x v="1"/>
    <n v="10"/>
    <s v="46+"/>
    <s v="Medium"/>
    <s v="Low"/>
    <s v="High"/>
  </r>
  <r>
    <s v="U399"/>
    <n v="27"/>
    <x v="0"/>
    <n v="3.9"/>
    <n v="7"/>
    <n v="5"/>
    <n v="0"/>
    <n v="4"/>
    <x v="2"/>
    <n v="10"/>
    <s v="26–35"/>
    <s v="Medium"/>
    <s v="Medium"/>
    <s v="High"/>
  </r>
  <r>
    <s v="U400"/>
    <n v="28"/>
    <x v="0"/>
    <n v="3.7"/>
    <n v="8"/>
    <n v="5"/>
    <n v="4"/>
    <n v="3"/>
    <x v="2"/>
    <n v="10"/>
    <s v="26–35"/>
    <s v="Medium"/>
    <s v="Medium"/>
    <s v="High"/>
  </r>
  <r>
    <s v="U401"/>
    <n v="38"/>
    <x v="2"/>
    <n v="7.2"/>
    <n v="5"/>
    <n v="8"/>
    <n v="1"/>
    <n v="2"/>
    <x v="2"/>
    <n v="9"/>
    <s v="36–45"/>
    <s v="High"/>
    <s v="High"/>
    <s v="High"/>
  </r>
  <r>
    <s v="U402"/>
    <n v="40"/>
    <x v="0"/>
    <n v="4.4000000000000004"/>
    <n v="7"/>
    <n v="5"/>
    <n v="4"/>
    <n v="0"/>
    <x v="2"/>
    <n v="10"/>
    <s v="36–45"/>
    <s v="Medium"/>
    <s v="Medium"/>
    <s v="High"/>
  </r>
  <r>
    <s v="U403"/>
    <n v="45"/>
    <x v="0"/>
    <n v="2.1"/>
    <n v="10"/>
    <n v="5"/>
    <n v="6"/>
    <n v="1"/>
    <x v="0"/>
    <n v="10"/>
    <s v="36–45"/>
    <s v="Low"/>
    <s v="Medium"/>
    <s v="High"/>
  </r>
  <r>
    <s v="U404"/>
    <n v="32"/>
    <x v="0"/>
    <n v="6.2"/>
    <n v="6"/>
    <n v="8"/>
    <n v="4"/>
    <n v="5"/>
    <x v="2"/>
    <n v="7"/>
    <s v="26–35"/>
    <s v="High"/>
    <s v="High"/>
    <s v="Normal"/>
  </r>
  <r>
    <s v="U405"/>
    <n v="35"/>
    <x v="0"/>
    <n v="8.1999999999999993"/>
    <n v="4"/>
    <n v="9"/>
    <n v="5"/>
    <n v="0"/>
    <x v="4"/>
    <n v="6"/>
    <s v="26–35"/>
    <s v="High"/>
    <s v="High"/>
    <s v="Normal"/>
  </r>
  <r>
    <s v="U406"/>
    <n v="40"/>
    <x v="0"/>
    <n v="6.9"/>
    <n v="3"/>
    <n v="8"/>
    <n v="7"/>
    <n v="1"/>
    <x v="0"/>
    <n v="6"/>
    <s v="36–45"/>
    <s v="High"/>
    <s v="High"/>
    <s v="Normal"/>
  </r>
  <r>
    <s v="U407"/>
    <n v="37"/>
    <x v="2"/>
    <n v="4.4000000000000004"/>
    <n v="7"/>
    <n v="6"/>
    <n v="5"/>
    <n v="4"/>
    <x v="2"/>
    <n v="10"/>
    <s v="36–45"/>
    <s v="Medium"/>
    <s v="Medium"/>
    <s v="High"/>
  </r>
  <r>
    <s v="U408"/>
    <n v="28"/>
    <x v="0"/>
    <n v="2.6"/>
    <n v="10"/>
    <n v="3"/>
    <n v="4"/>
    <n v="3"/>
    <x v="5"/>
    <n v="10"/>
    <s v="26–35"/>
    <s v="Low"/>
    <s v="Low"/>
    <s v="High"/>
  </r>
  <r>
    <s v="U409"/>
    <n v="34"/>
    <x v="2"/>
    <n v="5.3"/>
    <n v="6"/>
    <n v="6"/>
    <n v="6"/>
    <n v="4"/>
    <x v="3"/>
    <n v="8"/>
    <s v="26–35"/>
    <s v="Medium"/>
    <s v="Medium"/>
    <s v="High"/>
  </r>
  <r>
    <s v="U410"/>
    <n v="27"/>
    <x v="2"/>
    <n v="5.2"/>
    <n v="4"/>
    <n v="7"/>
    <n v="7"/>
    <n v="3"/>
    <x v="3"/>
    <n v="9"/>
    <s v="26–35"/>
    <s v="Medium"/>
    <s v="Medium"/>
    <s v="High"/>
  </r>
  <r>
    <s v="U411"/>
    <n v="34"/>
    <x v="0"/>
    <n v="3.8"/>
    <n v="7"/>
    <n v="6"/>
    <n v="7"/>
    <n v="5"/>
    <x v="3"/>
    <n v="10"/>
    <s v="26–35"/>
    <s v="Medium"/>
    <s v="Medium"/>
    <s v="High"/>
  </r>
  <r>
    <s v="U412"/>
    <n v="27"/>
    <x v="0"/>
    <n v="6.5"/>
    <n v="7"/>
    <n v="7"/>
    <n v="2"/>
    <n v="3"/>
    <x v="0"/>
    <n v="10"/>
    <s v="26–35"/>
    <s v="High"/>
    <s v="Medium"/>
    <s v="High"/>
  </r>
  <r>
    <s v="U413"/>
    <n v="24"/>
    <x v="0"/>
    <n v="8.8000000000000007"/>
    <n v="5"/>
    <n v="9"/>
    <n v="0"/>
    <n v="3"/>
    <x v="2"/>
    <n v="6"/>
    <s v="15–25"/>
    <s v="High"/>
    <s v="High"/>
    <s v="Normal"/>
  </r>
  <r>
    <s v="U414"/>
    <n v="22"/>
    <x v="2"/>
    <n v="5.9"/>
    <n v="5"/>
    <n v="6"/>
    <n v="2"/>
    <n v="1"/>
    <x v="1"/>
    <n v="9"/>
    <s v="15–25"/>
    <s v="Medium"/>
    <s v="Medium"/>
    <s v="High"/>
  </r>
  <r>
    <s v="U415"/>
    <n v="43"/>
    <x v="0"/>
    <n v="5.8"/>
    <n v="6"/>
    <n v="7"/>
    <n v="4"/>
    <n v="3"/>
    <x v="1"/>
    <n v="9"/>
    <s v="36–45"/>
    <s v="Medium"/>
    <s v="Medium"/>
    <s v="High"/>
  </r>
  <r>
    <s v="U416"/>
    <n v="29"/>
    <x v="2"/>
    <n v="3.8"/>
    <n v="7"/>
    <n v="6"/>
    <n v="3"/>
    <n v="2"/>
    <x v="1"/>
    <n v="8"/>
    <s v="26–35"/>
    <s v="Medium"/>
    <s v="Medium"/>
    <s v="High"/>
  </r>
  <r>
    <s v="U417"/>
    <n v="46"/>
    <x v="0"/>
    <n v="8"/>
    <n v="4"/>
    <n v="8"/>
    <n v="3"/>
    <n v="2"/>
    <x v="0"/>
    <n v="9"/>
    <s v="46+"/>
    <s v="High"/>
    <s v="High"/>
    <s v="High"/>
  </r>
  <r>
    <s v="U418"/>
    <n v="34"/>
    <x v="2"/>
    <n v="5.4"/>
    <n v="4"/>
    <n v="5"/>
    <n v="4"/>
    <n v="4"/>
    <x v="4"/>
    <n v="10"/>
    <s v="26–35"/>
    <s v="Medium"/>
    <s v="Medium"/>
    <s v="High"/>
  </r>
  <r>
    <s v="U419"/>
    <n v="31"/>
    <x v="0"/>
    <n v="4.5"/>
    <n v="8"/>
    <n v="5"/>
    <n v="0"/>
    <n v="4"/>
    <x v="5"/>
    <n v="10"/>
    <s v="26–35"/>
    <s v="Medium"/>
    <s v="Medium"/>
    <s v="High"/>
  </r>
  <r>
    <s v="U420"/>
    <n v="20"/>
    <x v="0"/>
    <n v="5.6"/>
    <n v="8"/>
    <n v="8"/>
    <n v="3"/>
    <n v="5"/>
    <x v="5"/>
    <n v="8"/>
    <s v="15–25"/>
    <s v="Medium"/>
    <s v="High"/>
    <s v="High"/>
  </r>
  <r>
    <s v="U421"/>
    <n v="27"/>
    <x v="1"/>
    <n v="6.3"/>
    <n v="4"/>
    <n v="9"/>
    <n v="5"/>
    <n v="5"/>
    <x v="3"/>
    <n v="6"/>
    <s v="26–35"/>
    <s v="High"/>
    <s v="High"/>
    <s v="Normal"/>
  </r>
  <r>
    <s v="U422"/>
    <n v="40"/>
    <x v="2"/>
    <n v="5.8"/>
    <n v="7"/>
    <n v="8"/>
    <n v="4"/>
    <n v="4"/>
    <x v="3"/>
    <n v="8"/>
    <s v="36–45"/>
    <s v="Medium"/>
    <s v="High"/>
    <s v="High"/>
  </r>
  <r>
    <s v="U423"/>
    <n v="36"/>
    <x v="0"/>
    <n v="7.7"/>
    <n v="5"/>
    <n v="8"/>
    <n v="4"/>
    <n v="0"/>
    <x v="1"/>
    <n v="8"/>
    <s v="36–45"/>
    <s v="High"/>
    <s v="High"/>
    <s v="High"/>
  </r>
  <r>
    <s v="U424"/>
    <n v="38"/>
    <x v="2"/>
    <n v="6.2"/>
    <n v="7"/>
    <n v="6"/>
    <n v="6"/>
    <n v="5"/>
    <x v="1"/>
    <n v="10"/>
    <s v="36–45"/>
    <s v="High"/>
    <s v="Medium"/>
    <s v="High"/>
  </r>
  <r>
    <s v="U425"/>
    <n v="31"/>
    <x v="2"/>
    <n v="5"/>
    <n v="7"/>
    <n v="6"/>
    <n v="3"/>
    <n v="4"/>
    <x v="3"/>
    <n v="10"/>
    <s v="26–35"/>
    <s v="Medium"/>
    <s v="Medium"/>
    <s v="High"/>
  </r>
  <r>
    <s v="U426"/>
    <n v="29"/>
    <x v="2"/>
    <n v="6.2"/>
    <n v="6"/>
    <n v="9"/>
    <n v="2"/>
    <n v="1"/>
    <x v="2"/>
    <n v="8"/>
    <s v="26–35"/>
    <s v="High"/>
    <s v="High"/>
    <s v="High"/>
  </r>
  <r>
    <s v="U427"/>
    <n v="46"/>
    <x v="2"/>
    <n v="6.4"/>
    <n v="6"/>
    <n v="8"/>
    <n v="5"/>
    <n v="4"/>
    <x v="4"/>
    <n v="8"/>
    <s v="46+"/>
    <s v="High"/>
    <s v="High"/>
    <s v="High"/>
  </r>
  <r>
    <s v="U428"/>
    <n v="20"/>
    <x v="0"/>
    <n v="3.2"/>
    <n v="7"/>
    <n v="5"/>
    <n v="5"/>
    <n v="1"/>
    <x v="4"/>
    <n v="9"/>
    <s v="15–25"/>
    <s v="Medium"/>
    <s v="Medium"/>
    <s v="High"/>
  </r>
  <r>
    <s v="U429"/>
    <n v="38"/>
    <x v="0"/>
    <n v="7.6"/>
    <n v="6"/>
    <n v="9"/>
    <n v="4"/>
    <n v="3"/>
    <x v="4"/>
    <n v="8"/>
    <s v="36–45"/>
    <s v="High"/>
    <s v="High"/>
    <s v="High"/>
  </r>
  <r>
    <s v="U430"/>
    <n v="44"/>
    <x v="0"/>
    <n v="5"/>
    <n v="6"/>
    <n v="5"/>
    <n v="3"/>
    <n v="1"/>
    <x v="4"/>
    <n v="10"/>
    <s v="36–45"/>
    <s v="Medium"/>
    <s v="Medium"/>
    <s v="High"/>
  </r>
  <r>
    <s v="U431"/>
    <n v="26"/>
    <x v="2"/>
    <n v="5"/>
    <n v="6"/>
    <n v="6"/>
    <n v="3"/>
    <n v="1"/>
    <x v="3"/>
    <n v="10"/>
    <s v="26–35"/>
    <s v="Medium"/>
    <s v="Medium"/>
    <s v="High"/>
  </r>
  <r>
    <s v="U432"/>
    <n v="33"/>
    <x v="2"/>
    <n v="6.9"/>
    <n v="6"/>
    <n v="7"/>
    <n v="0"/>
    <n v="4"/>
    <x v="5"/>
    <n v="7"/>
    <s v="26–35"/>
    <s v="High"/>
    <s v="Medium"/>
    <s v="Normal"/>
  </r>
  <r>
    <s v="U433"/>
    <n v="27"/>
    <x v="0"/>
    <n v="6.8"/>
    <n v="5"/>
    <n v="8"/>
    <n v="5"/>
    <n v="4"/>
    <x v="3"/>
    <n v="7"/>
    <s v="26–35"/>
    <s v="High"/>
    <s v="High"/>
    <s v="Normal"/>
  </r>
  <r>
    <s v="U434"/>
    <n v="24"/>
    <x v="0"/>
    <n v="4.2"/>
    <n v="8"/>
    <n v="7"/>
    <n v="5"/>
    <n v="3"/>
    <x v="4"/>
    <n v="7"/>
    <s v="15–25"/>
    <s v="Medium"/>
    <s v="Medium"/>
    <s v="Normal"/>
  </r>
  <r>
    <s v="U435"/>
    <n v="25"/>
    <x v="2"/>
    <n v="6.9"/>
    <n v="7"/>
    <n v="7"/>
    <n v="0"/>
    <n v="2"/>
    <x v="3"/>
    <n v="9"/>
    <s v="15–25"/>
    <s v="High"/>
    <s v="Medium"/>
    <s v="High"/>
  </r>
  <r>
    <s v="U436"/>
    <n v="32"/>
    <x v="1"/>
    <n v="4.5"/>
    <n v="8"/>
    <n v="5"/>
    <n v="5"/>
    <n v="0"/>
    <x v="4"/>
    <n v="10"/>
    <s v="26–35"/>
    <s v="Medium"/>
    <s v="Medium"/>
    <s v="High"/>
  </r>
  <r>
    <s v="U437"/>
    <n v="22"/>
    <x v="2"/>
    <n v="8.8000000000000007"/>
    <n v="2"/>
    <n v="9"/>
    <n v="4"/>
    <n v="2"/>
    <x v="0"/>
    <n v="7"/>
    <s v="15–25"/>
    <s v="High"/>
    <s v="High"/>
    <s v="Normal"/>
  </r>
  <r>
    <s v="U438"/>
    <n v="28"/>
    <x v="0"/>
    <n v="4"/>
    <n v="7"/>
    <n v="5"/>
    <n v="1"/>
    <n v="3"/>
    <x v="1"/>
    <n v="9"/>
    <s v="26–35"/>
    <s v="Medium"/>
    <s v="Medium"/>
    <s v="High"/>
  </r>
  <r>
    <s v="U439"/>
    <n v="24"/>
    <x v="0"/>
    <n v="5.9"/>
    <n v="7"/>
    <n v="6"/>
    <n v="1"/>
    <n v="2"/>
    <x v="5"/>
    <n v="8"/>
    <s v="15–25"/>
    <s v="Medium"/>
    <s v="Medium"/>
    <s v="High"/>
  </r>
  <r>
    <s v="U440"/>
    <n v="42"/>
    <x v="0"/>
    <n v="4.0999999999999996"/>
    <n v="6"/>
    <n v="6"/>
    <n v="4"/>
    <n v="2"/>
    <x v="0"/>
    <n v="9"/>
    <s v="36–45"/>
    <s v="Medium"/>
    <s v="Medium"/>
    <s v="High"/>
  </r>
  <r>
    <s v="U441"/>
    <n v="17"/>
    <x v="2"/>
    <n v="9.5"/>
    <n v="4"/>
    <n v="9"/>
    <n v="2"/>
    <n v="2"/>
    <x v="2"/>
    <n v="4"/>
    <s v="15–25"/>
    <s v="High"/>
    <s v="High"/>
    <s v="Low"/>
  </r>
  <r>
    <s v="U442"/>
    <n v="20"/>
    <x v="0"/>
    <n v="3.3"/>
    <n v="8"/>
    <n v="4"/>
    <n v="7"/>
    <n v="2"/>
    <x v="3"/>
    <n v="10"/>
    <s v="15–25"/>
    <s v="Medium"/>
    <s v="Low"/>
    <s v="High"/>
  </r>
  <r>
    <s v="U443"/>
    <n v="44"/>
    <x v="2"/>
    <n v="6.4"/>
    <n v="5"/>
    <n v="6"/>
    <n v="5"/>
    <n v="3"/>
    <x v="2"/>
    <n v="6"/>
    <s v="36–45"/>
    <s v="High"/>
    <s v="Medium"/>
    <s v="Normal"/>
  </r>
  <r>
    <s v="U444"/>
    <n v="34"/>
    <x v="0"/>
    <n v="4.2"/>
    <n v="8"/>
    <n v="4"/>
    <n v="4"/>
    <n v="2"/>
    <x v="3"/>
    <n v="10"/>
    <s v="26–35"/>
    <s v="Medium"/>
    <s v="Low"/>
    <s v="High"/>
  </r>
  <r>
    <s v="U445"/>
    <n v="23"/>
    <x v="2"/>
    <n v="4.9000000000000004"/>
    <n v="7"/>
    <n v="7"/>
    <n v="4"/>
    <n v="5"/>
    <x v="1"/>
    <n v="7"/>
    <s v="15–25"/>
    <s v="Medium"/>
    <s v="Medium"/>
    <s v="Normal"/>
  </r>
  <r>
    <s v="U446"/>
    <n v="16"/>
    <x v="2"/>
    <n v="6.3"/>
    <n v="6"/>
    <n v="7"/>
    <n v="6"/>
    <n v="0"/>
    <x v="0"/>
    <n v="8"/>
    <s v="15–25"/>
    <s v="High"/>
    <s v="Medium"/>
    <s v="High"/>
  </r>
  <r>
    <s v="U447"/>
    <n v="37"/>
    <x v="2"/>
    <n v="7.7"/>
    <n v="4"/>
    <n v="8"/>
    <n v="5"/>
    <n v="2"/>
    <x v="1"/>
    <n v="8"/>
    <s v="36–45"/>
    <s v="High"/>
    <s v="High"/>
    <s v="High"/>
  </r>
  <r>
    <s v="U448"/>
    <n v="32"/>
    <x v="0"/>
    <n v="8.4"/>
    <n v="5"/>
    <n v="9"/>
    <n v="4"/>
    <n v="1"/>
    <x v="4"/>
    <n v="7"/>
    <s v="26–35"/>
    <s v="High"/>
    <s v="High"/>
    <s v="Normal"/>
  </r>
  <r>
    <s v="U449"/>
    <n v="22"/>
    <x v="0"/>
    <n v="2.7"/>
    <n v="6"/>
    <n v="6"/>
    <n v="1"/>
    <n v="3"/>
    <x v="1"/>
    <n v="8"/>
    <s v="15–25"/>
    <s v="Low"/>
    <s v="Medium"/>
    <s v="High"/>
  </r>
  <r>
    <s v="U450"/>
    <n v="40"/>
    <x v="0"/>
    <n v="6"/>
    <n v="4"/>
    <n v="6"/>
    <n v="9"/>
    <n v="3"/>
    <x v="1"/>
    <n v="8"/>
    <s v="36–45"/>
    <s v="Medium"/>
    <s v="Medium"/>
    <s v="High"/>
  </r>
  <r>
    <s v="U451"/>
    <n v="19"/>
    <x v="2"/>
    <n v="8.1"/>
    <n v="5"/>
    <n v="9"/>
    <n v="1"/>
    <n v="5"/>
    <x v="4"/>
    <n v="7"/>
    <s v="15–25"/>
    <s v="High"/>
    <s v="High"/>
    <s v="Normal"/>
  </r>
  <r>
    <s v="U452"/>
    <n v="21"/>
    <x v="2"/>
    <n v="2.5"/>
    <n v="9"/>
    <n v="3"/>
    <n v="2"/>
    <n v="5"/>
    <x v="3"/>
    <n v="10"/>
    <s v="15–25"/>
    <s v="Low"/>
    <s v="Low"/>
    <s v="High"/>
  </r>
  <r>
    <s v="U453"/>
    <n v="46"/>
    <x v="2"/>
    <n v="6.1"/>
    <n v="6"/>
    <n v="8"/>
    <n v="0"/>
    <n v="1"/>
    <x v="4"/>
    <n v="6"/>
    <s v="46+"/>
    <s v="High"/>
    <s v="High"/>
    <s v="Normal"/>
  </r>
  <r>
    <s v="U454"/>
    <n v="34"/>
    <x v="2"/>
    <n v="5.5"/>
    <n v="6"/>
    <n v="5"/>
    <n v="4"/>
    <n v="3"/>
    <x v="0"/>
    <n v="10"/>
    <s v="26–35"/>
    <s v="Medium"/>
    <s v="Medium"/>
    <s v="High"/>
  </r>
  <r>
    <s v="U455"/>
    <n v="42"/>
    <x v="2"/>
    <n v="6.2"/>
    <n v="6"/>
    <n v="6"/>
    <n v="3"/>
    <n v="3"/>
    <x v="1"/>
    <n v="6"/>
    <s v="36–45"/>
    <s v="High"/>
    <s v="Medium"/>
    <s v="Normal"/>
  </r>
  <r>
    <s v="U456"/>
    <n v="25"/>
    <x v="0"/>
    <n v="4.0999999999999996"/>
    <n v="6"/>
    <n v="5"/>
    <n v="5"/>
    <n v="1"/>
    <x v="4"/>
    <n v="9"/>
    <s v="15–25"/>
    <s v="Medium"/>
    <s v="Medium"/>
    <s v="High"/>
  </r>
  <r>
    <s v="U457"/>
    <n v="41"/>
    <x v="2"/>
    <n v="2.9"/>
    <n v="8"/>
    <n v="3"/>
    <n v="0"/>
    <n v="3"/>
    <x v="1"/>
    <n v="10"/>
    <s v="36–45"/>
    <s v="Low"/>
    <s v="Low"/>
    <s v="High"/>
  </r>
  <r>
    <s v="U458"/>
    <n v="34"/>
    <x v="0"/>
    <n v="2.1"/>
    <n v="9"/>
    <n v="4"/>
    <n v="5"/>
    <n v="2"/>
    <x v="0"/>
    <n v="10"/>
    <s v="26–35"/>
    <s v="Low"/>
    <s v="Low"/>
    <s v="High"/>
  </r>
  <r>
    <s v="U459"/>
    <n v="18"/>
    <x v="0"/>
    <n v="7.3"/>
    <n v="5"/>
    <n v="8"/>
    <n v="1"/>
    <n v="1"/>
    <x v="2"/>
    <n v="7"/>
    <s v="15–25"/>
    <s v="High"/>
    <s v="High"/>
    <s v="Normal"/>
  </r>
  <r>
    <s v="U460"/>
    <n v="28"/>
    <x v="2"/>
    <n v="7.5"/>
    <n v="6"/>
    <n v="8"/>
    <n v="3"/>
    <n v="2"/>
    <x v="0"/>
    <n v="6"/>
    <s v="26–35"/>
    <s v="High"/>
    <s v="High"/>
    <s v="Normal"/>
  </r>
  <r>
    <s v="U461"/>
    <n v="43"/>
    <x v="0"/>
    <n v="6"/>
    <n v="6"/>
    <n v="5"/>
    <n v="5"/>
    <n v="1"/>
    <x v="5"/>
    <n v="9"/>
    <s v="36–45"/>
    <s v="Medium"/>
    <s v="Medium"/>
    <s v="High"/>
  </r>
  <r>
    <s v="U462"/>
    <n v="35"/>
    <x v="0"/>
    <n v="4.5"/>
    <n v="7"/>
    <n v="8"/>
    <n v="4"/>
    <n v="4"/>
    <x v="5"/>
    <n v="8"/>
    <s v="26–35"/>
    <s v="Medium"/>
    <s v="High"/>
    <s v="High"/>
  </r>
  <r>
    <s v="U463"/>
    <n v="43"/>
    <x v="2"/>
    <n v="2.6"/>
    <n v="9"/>
    <n v="5"/>
    <n v="4"/>
    <n v="5"/>
    <x v="5"/>
    <n v="10"/>
    <s v="36–45"/>
    <s v="Low"/>
    <s v="Medium"/>
    <s v="High"/>
  </r>
  <r>
    <s v="U464"/>
    <n v="23"/>
    <x v="0"/>
    <n v="6.5"/>
    <n v="5"/>
    <n v="10"/>
    <n v="5"/>
    <n v="3"/>
    <x v="1"/>
    <n v="5"/>
    <s v="15–25"/>
    <s v="High"/>
    <s v="High"/>
    <s v="Normal"/>
  </r>
  <r>
    <s v="U465"/>
    <n v="16"/>
    <x v="2"/>
    <n v="3.5"/>
    <n v="8"/>
    <n v="5"/>
    <n v="4"/>
    <n v="3"/>
    <x v="3"/>
    <n v="10"/>
    <s v="15–25"/>
    <s v="Medium"/>
    <s v="Medium"/>
    <s v="High"/>
  </r>
  <r>
    <s v="U466"/>
    <n v="18"/>
    <x v="0"/>
    <n v="4.2"/>
    <n v="7"/>
    <n v="7"/>
    <n v="2"/>
    <n v="3"/>
    <x v="3"/>
    <n v="10"/>
    <s v="15–25"/>
    <s v="Medium"/>
    <s v="Medium"/>
    <s v="High"/>
  </r>
  <r>
    <s v="U467"/>
    <n v="28"/>
    <x v="0"/>
    <n v="4.4000000000000004"/>
    <n v="7"/>
    <n v="7"/>
    <n v="3"/>
    <n v="4"/>
    <x v="3"/>
    <n v="8"/>
    <s v="26–35"/>
    <s v="Medium"/>
    <s v="Medium"/>
    <s v="High"/>
  </r>
  <r>
    <s v="U468"/>
    <n v="43"/>
    <x v="0"/>
    <n v="5.0999999999999996"/>
    <n v="6"/>
    <n v="6"/>
    <n v="3"/>
    <n v="4"/>
    <x v="1"/>
    <n v="9"/>
    <s v="36–45"/>
    <s v="Medium"/>
    <s v="Medium"/>
    <s v="High"/>
  </r>
  <r>
    <s v="U469"/>
    <n v="40"/>
    <x v="0"/>
    <n v="4.0999999999999996"/>
    <n v="6"/>
    <n v="7"/>
    <n v="1"/>
    <n v="2"/>
    <x v="0"/>
    <n v="10"/>
    <s v="36–45"/>
    <s v="Medium"/>
    <s v="Medium"/>
    <s v="High"/>
  </r>
  <r>
    <s v="U470"/>
    <n v="48"/>
    <x v="2"/>
    <n v="5.6"/>
    <n v="6"/>
    <n v="6"/>
    <n v="5"/>
    <n v="3"/>
    <x v="3"/>
    <n v="8"/>
    <s v="46+"/>
    <s v="Medium"/>
    <s v="Medium"/>
    <s v="High"/>
  </r>
  <r>
    <s v="U471"/>
    <n v="21"/>
    <x v="0"/>
    <n v="4.4000000000000004"/>
    <n v="5"/>
    <n v="6"/>
    <n v="4"/>
    <n v="3"/>
    <x v="2"/>
    <n v="7"/>
    <s v="15–25"/>
    <s v="Medium"/>
    <s v="Medium"/>
    <s v="Normal"/>
  </r>
  <r>
    <s v="U472"/>
    <n v="47"/>
    <x v="2"/>
    <n v="6.8"/>
    <n v="5"/>
    <n v="4"/>
    <n v="3"/>
    <n v="1"/>
    <x v="5"/>
    <n v="10"/>
    <s v="46+"/>
    <s v="High"/>
    <s v="Low"/>
    <s v="High"/>
  </r>
  <r>
    <s v="U473"/>
    <n v="36"/>
    <x v="2"/>
    <n v="7.4"/>
    <n v="3"/>
    <n v="8"/>
    <n v="5"/>
    <n v="4"/>
    <x v="0"/>
    <n v="5"/>
    <s v="36–45"/>
    <s v="High"/>
    <s v="High"/>
    <s v="Normal"/>
  </r>
  <r>
    <s v="U474"/>
    <n v="31"/>
    <x v="2"/>
    <n v="5.7"/>
    <n v="7"/>
    <n v="5"/>
    <n v="3"/>
    <n v="5"/>
    <x v="5"/>
    <n v="10"/>
    <s v="26–35"/>
    <s v="Medium"/>
    <s v="Medium"/>
    <s v="High"/>
  </r>
  <r>
    <s v="U475"/>
    <n v="36"/>
    <x v="2"/>
    <n v="6.3"/>
    <n v="7"/>
    <n v="7"/>
    <n v="3"/>
    <n v="4"/>
    <x v="3"/>
    <n v="8"/>
    <s v="36–45"/>
    <s v="High"/>
    <s v="Medium"/>
    <s v="High"/>
  </r>
  <r>
    <s v="U476"/>
    <n v="26"/>
    <x v="2"/>
    <n v="9.3000000000000007"/>
    <n v="3"/>
    <n v="8"/>
    <n v="2"/>
    <n v="1"/>
    <x v="0"/>
    <n v="6"/>
    <s v="26–35"/>
    <s v="High"/>
    <s v="High"/>
    <s v="Normal"/>
  </r>
  <r>
    <s v="U477"/>
    <n v="34"/>
    <x v="0"/>
    <n v="3.4"/>
    <n v="8"/>
    <n v="5"/>
    <n v="4"/>
    <n v="0"/>
    <x v="4"/>
    <n v="10"/>
    <s v="26–35"/>
    <s v="Medium"/>
    <s v="Medium"/>
    <s v="High"/>
  </r>
  <r>
    <s v="U478"/>
    <n v="35"/>
    <x v="0"/>
    <n v="3.3"/>
    <n v="9"/>
    <n v="6"/>
    <n v="4"/>
    <n v="4"/>
    <x v="2"/>
    <n v="10"/>
    <s v="26–35"/>
    <s v="Medium"/>
    <s v="Medium"/>
    <s v="High"/>
  </r>
  <r>
    <s v="U479"/>
    <n v="33"/>
    <x v="0"/>
    <n v="6.8"/>
    <n v="6"/>
    <n v="8"/>
    <n v="2"/>
    <n v="1"/>
    <x v="3"/>
    <n v="9"/>
    <s v="26–35"/>
    <s v="High"/>
    <s v="High"/>
    <s v="High"/>
  </r>
  <r>
    <s v="U480"/>
    <n v="29"/>
    <x v="2"/>
    <n v="9"/>
    <n v="4"/>
    <n v="10"/>
    <n v="3"/>
    <n v="3"/>
    <x v="3"/>
    <n v="4"/>
    <s v="26–35"/>
    <s v="High"/>
    <s v="High"/>
    <s v="Low"/>
  </r>
  <r>
    <s v="U481"/>
    <n v="30"/>
    <x v="0"/>
    <n v="5"/>
    <n v="7"/>
    <n v="8"/>
    <n v="2"/>
    <n v="5"/>
    <x v="2"/>
    <n v="7"/>
    <s v="26–35"/>
    <s v="Medium"/>
    <s v="High"/>
    <s v="Normal"/>
  </r>
  <r>
    <s v="U482"/>
    <n v="46"/>
    <x v="2"/>
    <n v="8.6"/>
    <n v="4"/>
    <n v="8"/>
    <n v="2"/>
    <n v="2"/>
    <x v="2"/>
    <n v="4"/>
    <s v="46+"/>
    <s v="High"/>
    <s v="High"/>
    <s v="Low"/>
  </r>
  <r>
    <s v="U483"/>
    <n v="16"/>
    <x v="2"/>
    <n v="5.7"/>
    <n v="6"/>
    <n v="6"/>
    <n v="0"/>
    <n v="2"/>
    <x v="4"/>
    <n v="8"/>
    <s v="15–25"/>
    <s v="Medium"/>
    <s v="Medium"/>
    <s v="High"/>
  </r>
  <r>
    <s v="U484"/>
    <n v="18"/>
    <x v="0"/>
    <n v="4.3"/>
    <n v="7"/>
    <n v="7"/>
    <n v="3"/>
    <n v="3"/>
    <x v="3"/>
    <n v="10"/>
    <s v="15–25"/>
    <s v="Medium"/>
    <s v="Medium"/>
    <s v="High"/>
  </r>
  <r>
    <s v="U485"/>
    <n v="31"/>
    <x v="2"/>
    <n v="3.7"/>
    <n v="7"/>
    <n v="7"/>
    <n v="0"/>
    <n v="1"/>
    <x v="1"/>
    <n v="9"/>
    <s v="26–35"/>
    <s v="Medium"/>
    <s v="Medium"/>
    <s v="High"/>
  </r>
  <r>
    <s v="U486"/>
    <n v="38"/>
    <x v="0"/>
    <n v="6.6"/>
    <n v="6"/>
    <n v="8"/>
    <n v="2"/>
    <n v="1"/>
    <x v="3"/>
    <n v="7"/>
    <s v="36–45"/>
    <s v="High"/>
    <s v="High"/>
    <s v="Normal"/>
  </r>
  <r>
    <s v="U487"/>
    <n v="26"/>
    <x v="0"/>
    <n v="3.9"/>
    <n v="8"/>
    <n v="5"/>
    <n v="2"/>
    <n v="3"/>
    <x v="5"/>
    <n v="10"/>
    <s v="26–35"/>
    <s v="Medium"/>
    <s v="Medium"/>
    <s v="High"/>
  </r>
  <r>
    <s v="U488"/>
    <n v="27"/>
    <x v="2"/>
    <n v="5.6"/>
    <n v="7"/>
    <n v="7"/>
    <n v="5"/>
    <n v="2"/>
    <x v="0"/>
    <n v="8"/>
    <s v="26–35"/>
    <s v="Medium"/>
    <s v="Medium"/>
    <s v="High"/>
  </r>
  <r>
    <s v="U489"/>
    <n v="25"/>
    <x v="2"/>
    <n v="8.4"/>
    <n v="5"/>
    <n v="9"/>
    <n v="1"/>
    <n v="3"/>
    <x v="0"/>
    <n v="7"/>
    <s v="15–25"/>
    <s v="High"/>
    <s v="High"/>
    <s v="Normal"/>
  </r>
  <r>
    <s v="U490"/>
    <n v="47"/>
    <x v="2"/>
    <n v="4.9000000000000004"/>
    <n v="7"/>
    <n v="7"/>
    <n v="1"/>
    <n v="7"/>
    <x v="5"/>
    <n v="10"/>
    <s v="46+"/>
    <s v="Medium"/>
    <s v="Medium"/>
    <s v="High"/>
  </r>
  <r>
    <s v="U491"/>
    <n v="31"/>
    <x v="0"/>
    <n v="7.9"/>
    <n v="5"/>
    <n v="8"/>
    <n v="2"/>
    <n v="3"/>
    <x v="0"/>
    <n v="6"/>
    <s v="26–35"/>
    <s v="High"/>
    <s v="High"/>
    <s v="Normal"/>
  </r>
  <r>
    <s v="U492"/>
    <n v="23"/>
    <x v="0"/>
    <n v="3.3"/>
    <n v="10"/>
    <n v="4"/>
    <n v="2"/>
    <n v="1"/>
    <x v="2"/>
    <n v="10"/>
    <s v="15–25"/>
    <s v="Medium"/>
    <s v="Low"/>
    <s v="High"/>
  </r>
  <r>
    <s v="U493"/>
    <n v="27"/>
    <x v="2"/>
    <n v="4.5"/>
    <n v="5"/>
    <n v="7"/>
    <n v="6"/>
    <n v="5"/>
    <x v="0"/>
    <n v="9"/>
    <s v="26–35"/>
    <s v="Medium"/>
    <s v="Medium"/>
    <s v="High"/>
  </r>
  <r>
    <s v="U494"/>
    <n v="39"/>
    <x v="2"/>
    <n v="3"/>
    <n v="7"/>
    <n v="2"/>
    <n v="1"/>
    <n v="0"/>
    <x v="0"/>
    <n v="10"/>
    <s v="36–45"/>
    <s v="Low"/>
    <s v="Low"/>
    <s v="High"/>
  </r>
  <r>
    <s v="U495"/>
    <n v="43"/>
    <x v="2"/>
    <n v="5.6"/>
    <n v="8"/>
    <n v="6"/>
    <n v="2"/>
    <n v="0"/>
    <x v="5"/>
    <n v="10"/>
    <s v="36–45"/>
    <s v="Medium"/>
    <s v="Medium"/>
    <s v="High"/>
  </r>
  <r>
    <s v="U496"/>
    <n v="23"/>
    <x v="0"/>
    <n v="6.9"/>
    <n v="5"/>
    <n v="7"/>
    <n v="4"/>
    <n v="2"/>
    <x v="4"/>
    <n v="10"/>
    <s v="15–25"/>
    <s v="High"/>
    <s v="Medium"/>
    <s v="High"/>
  </r>
  <r>
    <s v="U497"/>
    <n v="43"/>
    <x v="2"/>
    <n v="5.6"/>
    <n v="7"/>
    <n v="6"/>
    <n v="5"/>
    <n v="2"/>
    <x v="0"/>
    <n v="9"/>
    <s v="36–45"/>
    <s v="Medium"/>
    <s v="Medium"/>
    <s v="High"/>
  </r>
  <r>
    <s v="U498"/>
    <n v="41"/>
    <x v="0"/>
    <n v="7.7"/>
    <n v="5"/>
    <n v="7"/>
    <n v="2"/>
    <n v="2"/>
    <x v="1"/>
    <n v="8"/>
    <s v="36–45"/>
    <s v="High"/>
    <s v="Medium"/>
    <s v="High"/>
  </r>
  <r>
    <s v="U499"/>
    <n v="23"/>
    <x v="0"/>
    <n v="4.2"/>
    <n v="9"/>
    <n v="7"/>
    <n v="0"/>
    <n v="2"/>
    <x v="0"/>
    <n v="9"/>
    <s v="15–25"/>
    <s v="Medium"/>
    <s v="Medium"/>
    <s v="High"/>
  </r>
  <r>
    <s v="U500"/>
    <n v="43"/>
    <x v="2"/>
    <n v="5.9"/>
    <n v="5"/>
    <n v="8"/>
    <n v="3"/>
    <n v="3"/>
    <x v="4"/>
    <n v="7"/>
    <s v="36–45"/>
    <s v="Medium"/>
    <s v="High"/>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9F6B2-9054-40F9-8AFB-9AB0451B9F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axis="axisRow" showAll="0">
      <items count="4">
        <item x="2"/>
        <item x="0"/>
        <item x="1"/>
        <item t="default"/>
      </items>
    </pivotField>
    <pivotField showAll="0"/>
    <pivotField showAll="0"/>
    <pivotField showAll="0"/>
    <pivotField showAll="0"/>
    <pivotField showAll="0"/>
    <pivotField dataField="1" showAll="0">
      <items count="7">
        <item x="0"/>
        <item x="5"/>
        <item x="1"/>
        <item x="3"/>
        <item x="4"/>
        <item x="2"/>
        <item t="default"/>
      </items>
    </pivotField>
    <pivotField showAll="0"/>
    <pivotField showAll="0"/>
    <pivotField showAll="0"/>
    <pivotField showAll="0"/>
    <pivotField showAll="0"/>
  </pivotFields>
  <rowFields count="1">
    <field x="2"/>
  </rowFields>
  <rowItems count="4">
    <i>
      <x/>
    </i>
    <i>
      <x v="1"/>
    </i>
    <i>
      <x v="2"/>
    </i>
    <i t="grand">
      <x/>
    </i>
  </rowItems>
  <colItems count="1">
    <i/>
  </colItems>
  <dataFields count="1">
    <dataField name="Count of Social_Media_Platform"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8DD43-AB31-4FBE-B913-BC265D82438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14">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_Quality(1-10)"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4E44A6-88D0-461F-B96B-F846383C35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items count="5">
        <item x="2"/>
        <item x="0"/>
        <item x="1"/>
        <item x="3"/>
        <item t="default"/>
      </items>
    </pivotField>
    <pivotField dataField="1"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showAll="0"/>
    <pivotField showAll="0"/>
    <pivotField showAll="0"/>
  </pivotFields>
  <rowItems count="1">
    <i/>
  </rowItems>
  <colItems count="1">
    <i/>
  </colItems>
  <dataFields count="1">
    <dataField name="Average Screen Time(Hr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F8F77F-324E-4080-9346-DE7A19B2DE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reen Time Category">
  <location ref="A6:B10"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axis="axisRow" dataField="1" showAll="0">
      <items count="5">
        <item x="1"/>
        <item x="2"/>
        <item x="0"/>
        <item h="1" x="3"/>
        <item t="default"/>
      </items>
    </pivotField>
    <pivotField showAll="0"/>
    <pivotField showAll="0"/>
  </pivotFields>
  <rowFields count="1">
    <field x="11"/>
  </rowFields>
  <rowItems count="4">
    <i>
      <x/>
    </i>
    <i>
      <x v="1"/>
    </i>
    <i>
      <x v="2"/>
    </i>
    <i t="grand">
      <x/>
    </i>
  </rowItems>
  <colItems count="1">
    <i/>
  </colItems>
  <dataFields count="1">
    <dataField name="Count of Users" fld="1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63B37F-E1F8-4C8D-8A86-F74BE2B731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ress category">
  <location ref="A14:B18"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dataField="1" showAll="0"/>
    <pivotField axis="axisRow" showAll="0">
      <items count="5">
        <item x="1"/>
        <item x="2"/>
        <item x="0"/>
        <item x="3"/>
        <item t="default"/>
      </items>
    </pivotField>
    <pivotField showAll="0"/>
  </pivotFields>
  <rowFields count="1">
    <field x="12"/>
  </rowFields>
  <rowItems count="4">
    <i>
      <x/>
    </i>
    <i>
      <x v="1"/>
    </i>
    <i>
      <x v="2"/>
    </i>
    <i t="grand">
      <x/>
    </i>
  </rowItems>
  <colItems count="1">
    <i/>
  </colItems>
  <dataFields count="1">
    <dataField name="Count of Users" fld="1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4FB1E4-3571-4E98-B00D-F5A731CFF1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ppiness index category">
  <location ref="A22:B26"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showAll="0"/>
    <pivotField showAll="0"/>
    <pivotField axis="axisRow" dataField="1" showAll="0">
      <items count="5">
        <item x="0"/>
        <item x="2"/>
        <item x="1"/>
        <item h="1" x="3"/>
        <item t="default"/>
      </items>
    </pivotField>
  </pivotFields>
  <rowFields count="1">
    <field x="13"/>
  </rowFields>
  <rowItems count="4">
    <i>
      <x/>
    </i>
    <i>
      <x v="1"/>
    </i>
    <i>
      <x v="2"/>
    </i>
    <i t="grand">
      <x/>
    </i>
  </rowItems>
  <colItems count="1">
    <i/>
  </colItems>
  <dataFields count="1">
    <dataField name="Count of users" fld="1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C22177-9A16-409F-AE2E-D84188FA77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ppiness index category">
  <location ref="A30:A34"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axis="axisRow" showAll="0">
      <items count="5">
        <item x="1"/>
        <item x="2"/>
        <item x="0"/>
        <item h="1" x="3"/>
        <item t="default"/>
      </items>
    </pivotField>
    <pivotField showAll="0"/>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1FFB18-AB49-4E3E-B1CE-67FBCC24FE7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creen Time Category">
  <location ref="A27:B31" firstHeaderRow="1" firstDataRow="1" firstDataCol="1"/>
  <pivotFields count="14">
    <pivotField showAll="0"/>
    <pivotField showAll="0"/>
    <pivotField showAll="0">
      <items count="5">
        <item x="2"/>
        <item x="0"/>
        <item x="1"/>
        <item x="3"/>
        <item t="default"/>
      </items>
    </pivotField>
    <pivotField showAll="0"/>
    <pivotField dataField="1"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axis="axisRow" showAll="0">
      <items count="5">
        <item x="1"/>
        <item x="2"/>
        <item x="0"/>
        <item h="1" x="3"/>
        <item t="default"/>
      </items>
    </pivotField>
    <pivotField showAll="0"/>
    <pivotField showAll="0"/>
  </pivotFields>
  <rowFields count="1">
    <field x="11"/>
  </rowFields>
  <rowItems count="4">
    <i>
      <x/>
    </i>
    <i>
      <x v="1"/>
    </i>
    <i>
      <x v="2"/>
    </i>
    <i t="grand">
      <x/>
    </i>
  </rowItems>
  <colItems count="1">
    <i/>
  </colItems>
  <dataFields count="1">
    <dataField name="Average of Sleep_Quality" fld="4" subtotal="average" baseField="1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1B6930-E30A-4462-B9F3-D67B3D91158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ocial Media">
  <location ref="A43:B50"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axis="axisRow" dataField="1" showAll="0" sortType="descending">
      <items count="8">
        <item h="1" x="6"/>
        <item x="2"/>
        <item x="4"/>
        <item x="3"/>
        <item x="1"/>
        <item x="5"/>
        <item x="0"/>
        <item t="default"/>
      </items>
      <autoSortScope>
        <pivotArea dataOnly="0" outline="0" fieldPosition="0">
          <references count="1">
            <reference field="4294967294" count="1" selected="0">
              <x v="0"/>
            </reference>
          </references>
        </pivotArea>
      </autoSortScope>
    </pivotField>
    <pivotField showAll="0"/>
    <pivotField showAll="0">
      <items count="7">
        <item x="2"/>
        <item m="1" x="5"/>
        <item x="1"/>
        <item x="0"/>
        <item x="3"/>
        <item x="4"/>
        <item t="default"/>
      </items>
    </pivotField>
    <pivotField showAll="0"/>
    <pivotField showAll="0"/>
    <pivotField showAll="0"/>
  </pivotFields>
  <rowFields count="1">
    <field x="8"/>
  </rowFields>
  <rowItems count="7">
    <i>
      <x v="3"/>
    </i>
    <i>
      <x v="2"/>
    </i>
    <i>
      <x v="4"/>
    </i>
    <i>
      <x v="6"/>
    </i>
    <i>
      <x v="1"/>
    </i>
    <i>
      <x v="5"/>
    </i>
    <i t="grand">
      <x/>
    </i>
  </rowItems>
  <colItems count="1">
    <i/>
  </colItems>
  <dataFields count="1">
    <dataField name="Count of users" fld="8" subtotal="count" baseField="8"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4"/>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3" format="6">
      <pivotArea type="data" outline="0" fieldPosition="0">
        <references count="2">
          <reference field="4294967294" count="1" selected="0">
            <x v="0"/>
          </reference>
          <reference field="8" count="1" selected="0">
            <x v="3"/>
          </reference>
        </references>
      </pivotArea>
    </chartFormat>
    <chartFormat chart="3" format="7">
      <pivotArea type="data" outline="0" fieldPosition="0">
        <references count="2">
          <reference field="4294967294" count="1" selected="0">
            <x v="0"/>
          </reference>
          <reference field="8" count="1" selected="0">
            <x v="5"/>
          </reference>
        </references>
      </pivotArea>
    </chartFormat>
    <chartFormat chart="3" format="8">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4A1D3F-09B6-4755-BDE4-12D88BD79F6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ocial Media">
  <location ref="A55:B60" firstHeaderRow="1" firstDataRow="1" firstDataCol="1"/>
  <pivotFields count="14">
    <pivotField showAll="0"/>
    <pivotField showAll="0"/>
    <pivotField showAll="0">
      <items count="5">
        <item x="2"/>
        <item x="0"/>
        <item x="1"/>
        <item x="3"/>
        <item t="default"/>
      </items>
    </pivotField>
    <pivotField dataField="1" showAll="0"/>
    <pivotField showAll="0"/>
    <pivotField showAll="0"/>
    <pivotField showAll="0"/>
    <pivotField showAll="0"/>
    <pivotField showAll="0">
      <items count="8">
        <item x="0"/>
        <item x="5"/>
        <item x="1"/>
        <item x="3"/>
        <item x="4"/>
        <item x="2"/>
        <item h="1" x="6"/>
        <item t="default"/>
      </items>
    </pivotField>
    <pivotField showAll="0"/>
    <pivotField axis="axisRow" showAll="0" sortType="descending">
      <items count="7">
        <item x="4"/>
        <item x="3"/>
        <item x="0"/>
        <item x="1"/>
        <item m="1" x="5"/>
        <item x="2"/>
        <item t="default"/>
      </items>
    </pivotField>
    <pivotField showAll="0"/>
    <pivotField showAll="0"/>
    <pivotField showAll="0"/>
  </pivotFields>
  <rowFields count="1">
    <field x="10"/>
  </rowFields>
  <rowItems count="5">
    <i>
      <x v="1"/>
    </i>
    <i>
      <x v="2"/>
    </i>
    <i>
      <x v="3"/>
    </i>
    <i>
      <x v="5"/>
    </i>
    <i t="grand">
      <x/>
    </i>
  </rowItems>
  <colItems count="1">
    <i/>
  </colItems>
  <dataFields count="1">
    <dataField name="Average of Daily_Screen_Time(hrs)" fld="3" subtotal="average"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060CE8-C4A6-4C1E-890E-720B2E47947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creen Time Category">
  <location ref="A35:B39"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dataField="1" showAll="0"/>
    <pivotField showAll="0">
      <items count="8">
        <item x="0"/>
        <item x="5"/>
        <item x="1"/>
        <item x="3"/>
        <item x="4"/>
        <item x="2"/>
        <item h="1" x="6"/>
        <item t="default"/>
      </items>
    </pivotField>
    <pivotField showAll="0"/>
    <pivotField showAll="0">
      <items count="7">
        <item x="2"/>
        <item m="1" x="5"/>
        <item x="1"/>
        <item x="0"/>
        <item x="3"/>
        <item x="4"/>
        <item t="default"/>
      </items>
    </pivotField>
    <pivotField axis="axisRow" showAll="0">
      <items count="5">
        <item x="1"/>
        <item x="2"/>
        <item x="0"/>
        <item h="1" x="3"/>
        <item t="default"/>
      </items>
    </pivotField>
    <pivotField showAll="0"/>
    <pivotField showAll="0"/>
  </pivotFields>
  <rowFields count="1">
    <field x="11"/>
  </rowFields>
  <rowItems count="4">
    <i>
      <x/>
    </i>
    <i>
      <x v="1"/>
    </i>
    <i>
      <x v="2"/>
    </i>
    <i t="grand">
      <x/>
    </i>
  </rowItems>
  <colItems count="1">
    <i/>
  </colItems>
  <dataFields count="1">
    <dataField name="Average of Exercise_Frequency(week)" fld="7" subtotal="average" baseField="1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57D287-037A-46CA-9DF1-56D84DD0D27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creen time Category">
  <location ref="A3:B7"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axis="axisRow" dataField="1" showAll="0">
      <items count="5">
        <item x="1"/>
        <item x="2"/>
        <item x="0"/>
        <item h="1" x="3"/>
        <item t="default"/>
      </items>
    </pivotField>
    <pivotField showAll="0"/>
    <pivotField showAll="0"/>
  </pivotFields>
  <rowFields count="1">
    <field x="11"/>
  </rowFields>
  <rowItems count="4">
    <i>
      <x/>
    </i>
    <i>
      <x v="1"/>
    </i>
    <i>
      <x v="2"/>
    </i>
    <i t="grand">
      <x/>
    </i>
  </rowItems>
  <colItems count="1">
    <i/>
  </colItems>
  <dataFields count="1">
    <dataField name="Count of user" fld="11" subtotal="count" baseField="11"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D4B21F-99C4-4630-94D6-647F0F9E538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ess category">
  <location ref="A11:B15"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showAll="0"/>
    <pivotField axis="axisRow" dataField="1" showAll="0">
      <items count="5">
        <item x="1"/>
        <item x="2"/>
        <item x="0"/>
        <item h="1" x="3"/>
        <item t="default"/>
      </items>
    </pivotField>
    <pivotField showAll="0"/>
  </pivotFields>
  <rowFields count="1">
    <field x="12"/>
  </rowFields>
  <rowItems count="4">
    <i>
      <x/>
    </i>
    <i>
      <x v="1"/>
    </i>
    <i>
      <x v="2"/>
    </i>
    <i t="grand">
      <x/>
    </i>
  </rowItems>
  <colItems count="1">
    <i/>
  </colItems>
  <dataFields count="1">
    <dataField name="Count of users" fld="12" subtotal="count" baseField="12"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57DECD-518B-478A-960D-AB8E66B901A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appiness Category">
  <location ref="A19:B23" firstHeaderRow="1" firstDataRow="1" firstDataCol="1"/>
  <pivotFields count="14">
    <pivotField showAll="0"/>
    <pivotField showAll="0"/>
    <pivotField showAll="0">
      <items count="5">
        <item x="2"/>
        <item x="0"/>
        <item x="1"/>
        <item x="3"/>
        <item t="default"/>
      </items>
    </pivotField>
    <pivotField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showAll="0"/>
    <pivotField showAll="0"/>
    <pivotField axis="axisRow" dataField="1" showAll="0">
      <items count="5">
        <item x="0"/>
        <item x="2"/>
        <item x="1"/>
        <item h="1" x="3"/>
        <item t="default"/>
      </items>
    </pivotField>
  </pivotFields>
  <rowFields count="1">
    <field x="13"/>
  </rowFields>
  <rowItems count="4">
    <i>
      <x/>
    </i>
    <i>
      <x v="1"/>
    </i>
    <i>
      <x v="2"/>
    </i>
    <i t="grand">
      <x/>
    </i>
  </rowItems>
  <colItems count="1">
    <i/>
  </colItems>
  <dataFields count="1">
    <dataField name="Count of Happiness Category" fld="13"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B446E5-FF47-42B5-AF5D-9105168B435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F45834-116B-4E7E-ADF3-DC8F9633691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B31" firstHeaderRow="1" firstDataRow="1" firstDataCol="0"/>
  <pivotFields count="14">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_Quality(1-10)" fld="4" subtotal="average" baseField="0" baseItem="0"/>
  </dataFields>
  <formats count="5">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12134D6-E270-4D2C-8553-92A6361B54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pivotFields count="14">
    <pivotField showAll="0"/>
    <pivotField showAll="0"/>
    <pivotField showAll="0">
      <items count="5">
        <item x="2"/>
        <item x="0"/>
        <item x="1"/>
        <item x="3"/>
        <item t="default"/>
      </items>
    </pivotField>
    <pivotField dataField="1" showAll="0"/>
    <pivotField showAll="0"/>
    <pivotField showAll="0"/>
    <pivotField showAll="0"/>
    <pivotField showAll="0"/>
    <pivotField showAll="0">
      <items count="8">
        <item x="0"/>
        <item x="5"/>
        <item x="1"/>
        <item x="3"/>
        <item x="4"/>
        <item x="2"/>
        <item h="1" x="6"/>
        <item t="default"/>
      </items>
    </pivotField>
    <pivotField showAll="0"/>
    <pivotField showAll="0">
      <items count="7">
        <item x="2"/>
        <item m="1" x="5"/>
        <item x="1"/>
        <item x="0"/>
        <item x="3"/>
        <item x="4"/>
        <item t="default"/>
      </items>
    </pivotField>
    <pivotField showAll="0"/>
    <pivotField showAll="0"/>
    <pivotField showAll="0"/>
  </pivotFields>
  <rowItems count="1">
    <i/>
  </rowItems>
  <colItems count="1">
    <i/>
  </colItems>
  <dataFields count="1">
    <dataField name="Average Screen Time(Hrs)" fld="3" subtotal="average" baseField="0" baseItem="0"/>
  </dataFields>
  <formats count="4">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_Platform" xr10:uid="{6ADEA5C9-46BF-426D-9931-DA9443047B79}" sourceName="Social_Media_Platform">
  <pivotTables>
    <pivotTable tabId="2" name="PivotTable1"/>
  </pivotTables>
  <data>
    <tabular pivotCacheId="215240312">
      <items count="6">
        <i x="0" s="1"/>
        <i x="5"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034877-4E61-425B-A310-B42370434D63}" sourceName="Gender">
  <pivotTables>
    <pivotTable tabId="6" name="PivotTable10"/>
    <pivotTable tabId="5" name="PivotTable3"/>
    <pivotTable tabId="5" name="PivotTable4"/>
    <pivotTable tabId="5" name="PivotTable6"/>
    <pivotTable tabId="5" name="PivotTable7"/>
    <pivotTable tabId="5" name="PivotTable9"/>
    <pivotTable tabId="6" name="PivotTable11"/>
    <pivotTable tabId="6" name="PivotTable12"/>
    <pivotTable tabId="6" name="PivotTable14"/>
    <pivotTable tabId="6" name="PivotTable16"/>
    <pivotTable tabId="6" name="PivotTable17"/>
    <pivotTable tabId="6" name="PivotTable19"/>
    <pivotTable tabId="3" name="PivotTable1"/>
  </pivotTables>
  <data>
    <tabular pivotCacheId="252087906">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_Platform1" xr10:uid="{C033D92A-AD4D-4676-B9D0-61FA933D9555}" sourceName="Social_Media_Platform">
  <pivotTables>
    <pivotTable tabId="6" name="PivotTable10"/>
    <pivotTable tabId="5" name="PivotTable3"/>
    <pivotTable tabId="5" name="PivotTable4"/>
    <pivotTable tabId="5" name="PivotTable6"/>
    <pivotTable tabId="5" name="PivotTable7"/>
    <pivotTable tabId="5" name="PivotTable9"/>
    <pivotTable tabId="6" name="PivotTable11"/>
    <pivotTable tabId="6" name="PivotTable12"/>
    <pivotTable tabId="6" name="PivotTable14"/>
    <pivotTable tabId="6" name="PivotTable16"/>
    <pivotTable tabId="6" name="PivotTable17"/>
    <pivotTable tabId="6" name="PivotTable19"/>
    <pivotTable tabId="3" name="PivotTable1"/>
  </pivotTables>
  <data>
    <tabular pivotCacheId="252087906">
      <items count="7">
        <i x="0" s="1"/>
        <i x="5" s="1"/>
        <i x="1" s="1"/>
        <i x="3" s="1"/>
        <i x="4" s="1"/>
        <i x="2" s="1"/>
        <i x="6"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A87D57-B881-4D28-8758-F29E0219E220}" sourceName="Age group">
  <pivotTables>
    <pivotTable tabId="6" name="PivotTable10"/>
    <pivotTable tabId="5" name="PivotTable3"/>
    <pivotTable tabId="5" name="PivotTable4"/>
    <pivotTable tabId="5" name="PivotTable6"/>
    <pivotTable tabId="5" name="PivotTable7"/>
    <pivotTable tabId="5" name="PivotTable9"/>
    <pivotTable tabId="6" name="PivotTable11"/>
    <pivotTable tabId="6" name="PivotTable12"/>
    <pivotTable tabId="6" name="PivotTable14"/>
    <pivotTable tabId="6" name="PivotTable16"/>
    <pivotTable tabId="6" name="PivotTable17"/>
    <pivotTable tabId="6" name="PivotTable19"/>
    <pivotTable tabId="3" name="PivotTable1"/>
  </pivotTables>
  <data>
    <tabular pivotCacheId="252087906">
      <items count="6">
        <i x="2" s="1"/>
        <i x="1" s="1"/>
        <i x="0" s="1"/>
        <i x="3" s="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cial_Media_Platform" xr10:uid="{6611F7F9-F887-4B1D-8B20-300869B08FB6}" cache="Slicer_Social_Media_Platform" caption="Social_Media_Platfor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51888E1-B227-4E08-9F5A-1AF4A401E31A}" cache="Slicer_Gender" caption="Gender" rowHeight="247650"/>
  <slicer name="Social_Media_Platform 1" xr10:uid="{1971BDF0-1A12-4D5A-AAD9-8464C1DCE8F9}" cache="Slicer_Social_Media_Platform1" caption="Social_Media_Platform" rowHeight="247650"/>
  <slicer name="Age group" xr10:uid="{8E4A2289-ADF1-42A5-AF9A-D7B64A977CF2}" cache="Slicer_Age_group" caption="Age group"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8995CC2-6991-46A9-A189-A7261D3A1208}" cache="Slicer_Gender" caption="Gender" rowHeight="468000"/>
  <slicer name="Social Media" xr10:uid="{6C6BA273-F511-416B-98D9-B51F306DE52C}" cache="Slicer_Social_Media_Platform1" caption="Social_Media_Platform" startItem="1" rowHeight="360000"/>
  <slicer name="Age group " xr10:uid="{3E14B351-EEEA-4D37-9D54-7F79454B4496}" cache="Slicer_Age_group" caption="Age group"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F5158D-F532-4B34-B739-0885AA23389E}" name="Table3" displayName="Table3" ref="H4:K5" totalsRowShown="0">
  <autoFilter ref="H4:K5" xr:uid="{B6F5158D-F532-4B34-B739-0885AA23389E}"/>
  <tableColumns count="4">
    <tableColumn id="1" xr3:uid="{8D1494E1-0542-4775-BF0D-90EB47E42797}" name="(High Stress Count / Total Users) × 100"/>
    <tableColumn id="2" xr3:uid="{A9CF129A-9E2A-4386-B93A-BCE56853F558}" name="Column1"/>
    <tableColumn id="3" xr3:uid="{33E6D2D5-9225-4087-8950-24E441B27B34}" name="Column2">
      <calculatedColumnFormula>(GETPIVOTDATA("Screen time category",$A$14,"Stress category","High")/GETPIVOTDATA("Screen time category",$A$14))*100</calculatedColumnFormula>
    </tableColumn>
    <tableColumn id="4" xr3:uid="{EA1FCE1E-38B4-42CF-8084-F1DE9094A755}" name="Column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EFAFE-4183-4105-813D-75D8577B60D0}" name="Table1" displayName="Table1" ref="A1:N501" totalsRowShown="0">
  <autoFilter ref="A1:N501" xr:uid="{733EFAFE-4183-4105-813D-75D8577B60D0}"/>
  <tableColumns count="14">
    <tableColumn id="1" xr3:uid="{632EAE84-92BD-4800-AEC1-85DB8D4B9058}" name="User_ID"/>
    <tableColumn id="2" xr3:uid="{B68FBD37-E65A-4EDA-9D04-3F8470FABD73}" name="Age"/>
    <tableColumn id="3" xr3:uid="{83D38577-AE3A-4418-A82B-CF118EFC16D0}" name="Gender"/>
    <tableColumn id="4" xr3:uid="{26AD49B3-5F12-4735-B250-E23B155AB38B}" name="Daily_Screen_Time(hrs)"/>
    <tableColumn id="5" xr3:uid="{F81A6FB6-03DD-4846-90D7-89AE6986C28E}" name="Sleep_Quality(1-10)"/>
    <tableColumn id="6" xr3:uid="{C3DFA23A-66C5-4FDD-9D12-A0004FBBEAE7}" name="Stress_Level(1-10)"/>
    <tableColumn id="7" xr3:uid="{87E6440F-5060-47B4-9257-CCA78EC09805}" name="Days_Without_Social_Media"/>
    <tableColumn id="8" xr3:uid="{4C5F06B1-2C3D-4444-AFA2-D711A98E93A1}" name="Exercise_Frequency(week)"/>
    <tableColumn id="9" xr3:uid="{296520DE-EE31-4EBB-9105-3042BEA2FC3A}" name="Social_Media_Platform"/>
    <tableColumn id="10" xr3:uid="{5C823C8C-7909-4B25-84ED-F8314277CB7D}" name="Happiness_Index(1-10)"/>
    <tableColumn id="12" xr3:uid="{03C51E7A-A0B6-4376-88E7-E79BB0D55657}" name="Age group" dataDxfId="12">
      <calculatedColumnFormula>IF(B2&lt;=25,"15–25",IF(B2&lt;=35,"26–35",IF(B2&lt;=45,"36–45","46+")))</calculatedColumnFormula>
    </tableColumn>
    <tableColumn id="15" xr3:uid="{EB3F4EF5-BD28-4924-8247-B4A1AAAB9377}" name="Screen time category" dataDxfId="11">
      <calculatedColumnFormula>IF(Table1[[#This Row],[Daily_Screen_Time(hrs)]]&lt;=3,"Low",IF(Table1[[#This Row],[Daily_Screen_Time(hrs)]]&lt;=6,"Medium","High"))</calculatedColumnFormula>
    </tableColumn>
    <tableColumn id="16" xr3:uid="{AC1BA680-D8EC-4966-8E86-A93D3192DFD6}" name="Stress category" dataDxfId="10">
      <calculatedColumnFormula>IF(Table1[[#This Row],[Stress_Level(1-10)]]&lt;=4,"Low",IF(Table1[[#This Row],[Stress_Level(1-10)]]&lt;=7,"Medium","High"))</calculatedColumnFormula>
    </tableColumn>
    <tableColumn id="17" xr3:uid="{F62B9757-9679-49A5-A1D8-2E98E8909734}" name="Happiness Category" dataDxfId="9">
      <calculatedColumnFormula>IF(Table1[[#This Row],[Happiness_Index(1-10)]]&lt;=4,"Low",IF(Table1[[#This Row],[Happiness_Index(1-10)]]&lt;=7,"Normal","High"))</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368D40-D7D1-4048-8B43-3D1E6E0A3FE4}" name="Table2" displayName="Table2" ref="B27:B28" totalsRowShown="0">
  <autoFilter ref="B27:B28" xr:uid="{DE368D40-D7D1-4048-8B43-3D1E6E0A3FE4}"/>
  <tableColumns count="1">
    <tableColumn id="1" xr3:uid="{A2D54D92-0E00-4D31-BDB7-AB9566342904}" name="High Stress Users (%)"/>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table" Target="../tables/table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BACE-13C5-41EF-9F9B-8AFC96A30C9E}">
  <dimension ref="A3:B7"/>
  <sheetViews>
    <sheetView tabSelected="1" workbookViewId="0">
      <selection activeCell="B24" sqref="B24"/>
    </sheetView>
  </sheetViews>
  <sheetFormatPr defaultRowHeight="13.8" x14ac:dyDescent="0.25"/>
  <cols>
    <col min="1" max="1" width="12.59765625" bestFit="1" customWidth="1"/>
    <col min="2" max="2" width="29.09765625" bestFit="1" customWidth="1"/>
    <col min="3" max="3" width="4.8984375" customWidth="1"/>
    <col min="4" max="4" width="5.09765625" bestFit="1" customWidth="1"/>
    <col min="5" max="5" width="9.5" bestFit="1" customWidth="1"/>
    <col min="6" max="6" width="8.59765625" bestFit="1" customWidth="1"/>
    <col min="7" max="7" width="7.19921875" bestFit="1" customWidth="1"/>
    <col min="8" max="8" width="9.5" bestFit="1" customWidth="1"/>
    <col min="9" max="9" width="1.796875" bestFit="1" customWidth="1"/>
    <col min="10" max="10" width="9.5" bestFit="1" customWidth="1"/>
    <col min="11" max="16" width="6" bestFit="1" customWidth="1"/>
    <col min="17" max="17" width="8.5" bestFit="1" customWidth="1"/>
    <col min="18" max="23" width="6.59765625" bestFit="1" customWidth="1"/>
    <col min="24" max="24" width="9.09765625" bestFit="1" customWidth="1"/>
    <col min="25" max="25" width="9.5" bestFit="1" customWidth="1"/>
    <col min="26" max="35" width="2.69921875" bestFit="1" customWidth="1"/>
    <col min="36" max="36" width="9.5" bestFit="1" customWidth="1"/>
    <col min="37" max="40" width="4.19921875" bestFit="1" customWidth="1"/>
    <col min="41" max="41" width="6.69921875" bestFit="1" customWidth="1"/>
    <col min="42" max="47" width="4.19921875" bestFit="1" customWidth="1"/>
    <col min="48" max="48" width="6.69921875" bestFit="1" customWidth="1"/>
    <col min="49" max="52" width="4.19921875" bestFit="1" customWidth="1"/>
    <col min="53" max="53" width="6.69921875" bestFit="1" customWidth="1"/>
    <col min="54" max="57" width="4.19921875" bestFit="1" customWidth="1"/>
    <col min="58" max="58" width="6.69921875" bestFit="1" customWidth="1"/>
    <col min="59" max="63" width="4.19921875" bestFit="1" customWidth="1"/>
    <col min="64" max="64" width="6.69921875" bestFit="1" customWidth="1"/>
    <col min="65" max="70" width="4.19921875" bestFit="1" customWidth="1"/>
    <col min="71" max="71" width="6.69921875" bestFit="1" customWidth="1"/>
    <col min="72" max="77" width="4.19921875" bestFit="1" customWidth="1"/>
    <col min="78" max="78" width="6.69921875" bestFit="1" customWidth="1"/>
    <col min="79" max="83" width="4.19921875" bestFit="1" customWidth="1"/>
    <col min="84" max="84" width="6.69921875" bestFit="1" customWidth="1"/>
    <col min="85" max="88" width="4.19921875" bestFit="1" customWidth="1"/>
    <col min="89" max="89" width="6.69921875" bestFit="1" customWidth="1"/>
    <col min="90" max="94" width="4.19921875" bestFit="1" customWidth="1"/>
    <col min="95" max="95" width="6.69921875" bestFit="1" customWidth="1"/>
    <col min="96" max="100" width="4.19921875" bestFit="1" customWidth="1"/>
    <col min="101" max="101" width="6.69921875" bestFit="1" customWidth="1"/>
    <col min="102" max="106" width="4.19921875" bestFit="1" customWidth="1"/>
    <col min="107" max="107" width="6.69921875" bestFit="1" customWidth="1"/>
    <col min="108" max="111" width="4.19921875" bestFit="1" customWidth="1"/>
    <col min="112" max="112" width="6.69921875" bestFit="1" customWidth="1"/>
    <col min="113" max="117" width="4.19921875" bestFit="1" customWidth="1"/>
    <col min="118" max="118" width="6.69921875" bestFit="1" customWidth="1"/>
    <col min="119" max="123" width="4.19921875" bestFit="1" customWidth="1"/>
    <col min="124" max="124" width="6.69921875" bestFit="1" customWidth="1"/>
    <col min="125" max="127" width="4.19921875" bestFit="1" customWidth="1"/>
    <col min="128" max="128" width="6.69921875" bestFit="1" customWidth="1"/>
    <col min="129" max="134" width="4.19921875" bestFit="1" customWidth="1"/>
    <col min="135" max="135" width="6.69921875" bestFit="1" customWidth="1"/>
    <col min="136" max="140" width="4.19921875" bestFit="1" customWidth="1"/>
    <col min="141" max="141" width="6.69921875" bestFit="1" customWidth="1"/>
    <col min="142" max="147" width="4.19921875" bestFit="1" customWidth="1"/>
    <col min="148" max="148" width="6.69921875" bestFit="1" customWidth="1"/>
    <col min="149" max="154" width="4.19921875" bestFit="1" customWidth="1"/>
    <col min="155" max="155" width="6.69921875" bestFit="1" customWidth="1"/>
    <col min="156" max="160" width="4.19921875" bestFit="1" customWidth="1"/>
    <col min="161" max="161" width="6.69921875" bestFit="1" customWidth="1"/>
    <col min="162" max="165" width="4.19921875" bestFit="1" customWidth="1"/>
    <col min="166" max="166" width="6.69921875" bestFit="1" customWidth="1"/>
    <col min="167" max="171" width="4.19921875" bestFit="1" customWidth="1"/>
    <col min="172" max="172" width="6.69921875" bestFit="1" customWidth="1"/>
    <col min="173" max="177" width="4.19921875" bestFit="1" customWidth="1"/>
    <col min="178" max="178" width="6.69921875" bestFit="1" customWidth="1"/>
    <col min="179" max="183" width="4.19921875" bestFit="1" customWidth="1"/>
    <col min="184" max="184" width="6.69921875" bestFit="1" customWidth="1"/>
    <col min="185" max="188" width="4.19921875" bestFit="1" customWidth="1"/>
    <col min="189" max="189" width="6.69921875" bestFit="1" customWidth="1"/>
    <col min="190" max="196" width="4.19921875" bestFit="1" customWidth="1"/>
    <col min="197" max="197" width="6.69921875" bestFit="1" customWidth="1"/>
    <col min="198" max="200" width="4.19921875" bestFit="1" customWidth="1"/>
    <col min="201" max="201" width="6.69921875" bestFit="1" customWidth="1"/>
    <col min="202" max="202" width="9.5" bestFit="1" customWidth="1"/>
  </cols>
  <sheetData>
    <row r="3" spans="1:2" x14ac:dyDescent="0.25">
      <c r="A3" s="1" t="s">
        <v>520</v>
      </c>
      <c r="B3" t="s">
        <v>521</v>
      </c>
    </row>
    <row r="4" spans="1:2" x14ac:dyDescent="0.25">
      <c r="A4" s="2" t="s">
        <v>19</v>
      </c>
      <c r="B4">
        <v>229</v>
      </c>
    </row>
    <row r="5" spans="1:2" x14ac:dyDescent="0.25">
      <c r="A5" s="2" t="s">
        <v>11</v>
      </c>
      <c r="B5">
        <v>248</v>
      </c>
    </row>
    <row r="6" spans="1:2" x14ac:dyDescent="0.25">
      <c r="A6" s="2" t="s">
        <v>14</v>
      </c>
      <c r="B6">
        <v>23</v>
      </c>
    </row>
    <row r="7" spans="1:2" x14ac:dyDescent="0.25">
      <c r="A7" s="2" t="s">
        <v>519</v>
      </c>
      <c r="B7">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29D07-1C99-4C21-8DAF-2A198702D254}">
  <dimension ref="A3:K39"/>
  <sheetViews>
    <sheetView topLeftCell="A4" workbookViewId="0">
      <selection activeCell="A31" sqref="A31:A33"/>
    </sheetView>
  </sheetViews>
  <sheetFormatPr defaultRowHeight="13.8" x14ac:dyDescent="0.25"/>
  <cols>
    <col min="1" max="1" width="26.296875" bestFit="1" customWidth="1"/>
    <col min="2" max="2" width="13.5" bestFit="1" customWidth="1"/>
    <col min="5" max="5" width="21.296875" customWidth="1"/>
    <col min="8" max="8" width="33.796875" customWidth="1"/>
    <col min="9" max="11" width="10.296875" customWidth="1"/>
  </cols>
  <sheetData>
    <row r="3" spans="1:11" x14ac:dyDescent="0.25">
      <c r="A3" t="s">
        <v>528</v>
      </c>
      <c r="E3" t="s">
        <v>546</v>
      </c>
    </row>
    <row r="4" spans="1:11" x14ac:dyDescent="0.25">
      <c r="A4">
        <v>5.5299999999999985</v>
      </c>
      <c r="H4" t="s">
        <v>547</v>
      </c>
      <c r="I4" t="s">
        <v>549</v>
      </c>
      <c r="J4" t="s">
        <v>550</v>
      </c>
      <c r="K4" t="s">
        <v>551</v>
      </c>
    </row>
    <row r="5" spans="1:11" x14ac:dyDescent="0.25">
      <c r="J5">
        <f>(GETPIVOTDATA("Screen time category",$A$14,"Stress category","High")/GETPIVOTDATA("Screen time category",$A$14))*100</f>
        <v>28.599999999999998</v>
      </c>
    </row>
    <row r="6" spans="1:11" x14ac:dyDescent="0.25">
      <c r="A6" s="1" t="s">
        <v>523</v>
      </c>
      <c r="B6" t="s">
        <v>532</v>
      </c>
    </row>
    <row r="7" spans="1:11" x14ac:dyDescent="0.25">
      <c r="A7" s="2" t="s">
        <v>529</v>
      </c>
      <c r="B7">
        <v>204</v>
      </c>
    </row>
    <row r="8" spans="1:11" x14ac:dyDescent="0.25">
      <c r="A8" s="2" t="s">
        <v>530</v>
      </c>
      <c r="B8">
        <v>40</v>
      </c>
      <c r="E8" t="s">
        <v>552</v>
      </c>
    </row>
    <row r="9" spans="1:11" x14ac:dyDescent="0.25">
      <c r="A9" s="2" t="s">
        <v>531</v>
      </c>
      <c r="B9">
        <v>256</v>
      </c>
      <c r="E9">
        <f>GETPIVOTDATA("Happiness Category",$A$22,"Happiness Category","High")/GETPIVOTDATA("Screen time category",$A$14)</f>
        <v>0.72199999999999998</v>
      </c>
    </row>
    <row r="10" spans="1:11" x14ac:dyDescent="0.25">
      <c r="A10" s="2" t="s">
        <v>519</v>
      </c>
      <c r="B10">
        <v>500</v>
      </c>
    </row>
    <row r="14" spans="1:11" x14ac:dyDescent="0.25">
      <c r="A14" s="1" t="s">
        <v>525</v>
      </c>
      <c r="B14" t="s">
        <v>532</v>
      </c>
    </row>
    <row r="15" spans="1:11" x14ac:dyDescent="0.25">
      <c r="A15" s="2" t="s">
        <v>529</v>
      </c>
      <c r="B15">
        <v>143</v>
      </c>
    </row>
    <row r="16" spans="1:11" x14ac:dyDescent="0.25">
      <c r="A16" s="2" t="s">
        <v>530</v>
      </c>
      <c r="B16">
        <v>43</v>
      </c>
    </row>
    <row r="17" spans="1:2" x14ac:dyDescent="0.25">
      <c r="A17" s="2" t="s">
        <v>531</v>
      </c>
      <c r="B17">
        <v>314</v>
      </c>
    </row>
    <row r="18" spans="1:2" x14ac:dyDescent="0.25">
      <c r="A18" s="2" t="s">
        <v>519</v>
      </c>
      <c r="B18">
        <v>500</v>
      </c>
    </row>
    <row r="22" spans="1:2" x14ac:dyDescent="0.25">
      <c r="A22" s="1" t="s">
        <v>535</v>
      </c>
      <c r="B22" t="s">
        <v>536</v>
      </c>
    </row>
    <row r="23" spans="1:2" x14ac:dyDescent="0.25">
      <c r="A23" s="2" t="s">
        <v>529</v>
      </c>
      <c r="B23">
        <v>361</v>
      </c>
    </row>
    <row r="24" spans="1:2" x14ac:dyDescent="0.25">
      <c r="A24" s="2" t="s">
        <v>530</v>
      </c>
      <c r="B24">
        <v>7</v>
      </c>
    </row>
    <row r="25" spans="1:2" x14ac:dyDescent="0.25">
      <c r="A25" s="2" t="s">
        <v>533</v>
      </c>
      <c r="B25">
        <v>132</v>
      </c>
    </row>
    <row r="26" spans="1:2" x14ac:dyDescent="0.25">
      <c r="A26" s="2" t="s">
        <v>519</v>
      </c>
      <c r="B26">
        <v>500</v>
      </c>
    </row>
    <row r="30" spans="1:2" x14ac:dyDescent="0.25">
      <c r="A30" s="1" t="s">
        <v>535</v>
      </c>
    </row>
    <row r="31" spans="1:2" x14ac:dyDescent="0.25">
      <c r="A31" s="2" t="s">
        <v>529</v>
      </c>
    </row>
    <row r="32" spans="1:2" x14ac:dyDescent="0.25">
      <c r="A32" s="2" t="s">
        <v>530</v>
      </c>
    </row>
    <row r="33" spans="1:1" x14ac:dyDescent="0.25">
      <c r="A33" s="2" t="s">
        <v>531</v>
      </c>
    </row>
    <row r="34" spans="1:1" x14ac:dyDescent="0.25">
      <c r="A34" s="2" t="s">
        <v>519</v>
      </c>
    </row>
    <row r="38" spans="1:1" x14ac:dyDescent="0.25">
      <c r="A38" t="s">
        <v>548</v>
      </c>
    </row>
    <row r="39" spans="1:1" x14ac:dyDescent="0.25">
      <c r="A39">
        <v>6.3040000000000003</v>
      </c>
    </row>
  </sheetData>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3C56-42CC-4CC6-92ED-2D4478DDBB0B}">
  <dimension ref="A3:B60"/>
  <sheetViews>
    <sheetView topLeftCell="C52" workbookViewId="0">
      <selection activeCell="F80" sqref="F80"/>
    </sheetView>
  </sheetViews>
  <sheetFormatPr defaultRowHeight="13.8" x14ac:dyDescent="0.25"/>
  <cols>
    <col min="1" max="1" width="14.296875" bestFit="1" customWidth="1"/>
    <col min="2" max="2" width="32.09765625" bestFit="1" customWidth="1"/>
  </cols>
  <sheetData>
    <row r="3" spans="1:2" x14ac:dyDescent="0.25">
      <c r="A3" s="1" t="s">
        <v>537</v>
      </c>
      <c r="B3" t="s">
        <v>538</v>
      </c>
    </row>
    <row r="4" spans="1:2" x14ac:dyDescent="0.25">
      <c r="A4" s="2" t="s">
        <v>529</v>
      </c>
      <c r="B4">
        <v>204</v>
      </c>
    </row>
    <row r="5" spans="1:2" x14ac:dyDescent="0.25">
      <c r="A5" s="2" t="s">
        <v>530</v>
      </c>
      <c r="B5">
        <v>40</v>
      </c>
    </row>
    <row r="6" spans="1:2" x14ac:dyDescent="0.25">
      <c r="A6" s="2" t="s">
        <v>531</v>
      </c>
      <c r="B6">
        <v>256</v>
      </c>
    </row>
    <row r="7" spans="1:2" x14ac:dyDescent="0.25">
      <c r="A7" s="2" t="s">
        <v>519</v>
      </c>
      <c r="B7">
        <v>500</v>
      </c>
    </row>
    <row r="11" spans="1:2" x14ac:dyDescent="0.25">
      <c r="A11" s="1" t="s">
        <v>539</v>
      </c>
      <c r="B11" t="s">
        <v>536</v>
      </c>
    </row>
    <row r="12" spans="1:2" x14ac:dyDescent="0.25">
      <c r="A12" s="2" t="s">
        <v>529</v>
      </c>
      <c r="B12">
        <v>143</v>
      </c>
    </row>
    <row r="13" spans="1:2" x14ac:dyDescent="0.25">
      <c r="A13" s="2" t="s">
        <v>530</v>
      </c>
      <c r="B13">
        <v>43</v>
      </c>
    </row>
    <row r="14" spans="1:2" x14ac:dyDescent="0.25">
      <c r="A14" s="2" t="s">
        <v>531</v>
      </c>
      <c r="B14">
        <v>314</v>
      </c>
    </row>
    <row r="15" spans="1:2" x14ac:dyDescent="0.25">
      <c r="A15" s="2" t="s">
        <v>519</v>
      </c>
      <c r="B15">
        <v>500</v>
      </c>
    </row>
    <row r="19" spans="1:2" x14ac:dyDescent="0.25">
      <c r="A19" s="1" t="s">
        <v>526</v>
      </c>
      <c r="B19" t="s">
        <v>534</v>
      </c>
    </row>
    <row r="20" spans="1:2" x14ac:dyDescent="0.25">
      <c r="A20" s="2" t="s">
        <v>529</v>
      </c>
      <c r="B20">
        <v>361</v>
      </c>
    </row>
    <row r="21" spans="1:2" x14ac:dyDescent="0.25">
      <c r="A21" s="2" t="s">
        <v>530</v>
      </c>
      <c r="B21">
        <v>7</v>
      </c>
    </row>
    <row r="22" spans="1:2" x14ac:dyDescent="0.25">
      <c r="A22" s="2" t="s">
        <v>533</v>
      </c>
      <c r="B22">
        <v>132</v>
      </c>
    </row>
    <row r="23" spans="1:2" x14ac:dyDescent="0.25">
      <c r="A23" s="2" t="s">
        <v>519</v>
      </c>
      <c r="B23">
        <v>500</v>
      </c>
    </row>
    <row r="27" spans="1:2" x14ac:dyDescent="0.25">
      <c r="A27" s="1" t="s">
        <v>523</v>
      </c>
      <c r="B27" t="s">
        <v>540</v>
      </c>
    </row>
    <row r="28" spans="1:2" x14ac:dyDescent="0.25">
      <c r="A28" s="2" t="s">
        <v>529</v>
      </c>
      <c r="B28">
        <v>5.1911764705882355</v>
      </c>
    </row>
    <row r="29" spans="1:2" x14ac:dyDescent="0.25">
      <c r="A29" s="2" t="s">
        <v>530</v>
      </c>
      <c r="B29">
        <v>8.375</v>
      </c>
    </row>
    <row r="30" spans="1:2" x14ac:dyDescent="0.25">
      <c r="A30" s="2" t="s">
        <v>531</v>
      </c>
      <c r="B30">
        <v>6.8671875</v>
      </c>
    </row>
    <row r="31" spans="1:2" x14ac:dyDescent="0.25">
      <c r="A31" s="2" t="s">
        <v>519</v>
      </c>
      <c r="B31">
        <v>6.3040000000000003</v>
      </c>
    </row>
    <row r="35" spans="1:2" x14ac:dyDescent="0.25">
      <c r="A35" s="1" t="s">
        <v>523</v>
      </c>
      <c r="B35" t="s">
        <v>541</v>
      </c>
    </row>
    <row r="36" spans="1:2" x14ac:dyDescent="0.25">
      <c r="A36" s="2" t="s">
        <v>529</v>
      </c>
      <c r="B36">
        <v>2.3725490196078431</v>
      </c>
    </row>
    <row r="37" spans="1:2" x14ac:dyDescent="0.25">
      <c r="A37" s="2" t="s">
        <v>530</v>
      </c>
      <c r="B37">
        <v>2.9</v>
      </c>
    </row>
    <row r="38" spans="1:2" x14ac:dyDescent="0.25">
      <c r="A38" s="2" t="s">
        <v>531</v>
      </c>
      <c r="B38">
        <v>2.4296875</v>
      </c>
    </row>
    <row r="39" spans="1:2" x14ac:dyDescent="0.25">
      <c r="A39" s="2" t="s">
        <v>519</v>
      </c>
      <c r="B39">
        <v>2.444</v>
      </c>
    </row>
    <row r="43" spans="1:2" x14ac:dyDescent="0.25">
      <c r="A43" s="1" t="s">
        <v>542</v>
      </c>
      <c r="B43" t="s">
        <v>536</v>
      </c>
    </row>
    <row r="44" spans="1:2" x14ac:dyDescent="0.25">
      <c r="A44" s="2" t="s">
        <v>20</v>
      </c>
      <c r="B44">
        <v>95</v>
      </c>
    </row>
    <row r="45" spans="1:2" x14ac:dyDescent="0.25">
      <c r="A45" s="2" t="s">
        <v>22</v>
      </c>
      <c r="B45">
        <v>88</v>
      </c>
    </row>
    <row r="46" spans="1:2" x14ac:dyDescent="0.25">
      <c r="A46" s="2" t="s">
        <v>15</v>
      </c>
      <c r="B46">
        <v>87</v>
      </c>
    </row>
    <row r="47" spans="1:2" x14ac:dyDescent="0.25">
      <c r="A47" s="2" t="s">
        <v>12</v>
      </c>
      <c r="B47">
        <v>81</v>
      </c>
    </row>
    <row r="48" spans="1:2" x14ac:dyDescent="0.25">
      <c r="A48" s="2" t="s">
        <v>17</v>
      </c>
      <c r="B48">
        <v>75</v>
      </c>
    </row>
    <row r="49" spans="1:2" x14ac:dyDescent="0.25">
      <c r="A49" s="2" t="s">
        <v>26</v>
      </c>
      <c r="B49">
        <v>74</v>
      </c>
    </row>
    <row r="50" spans="1:2" x14ac:dyDescent="0.25">
      <c r="A50" s="2" t="s">
        <v>519</v>
      </c>
      <c r="B50">
        <v>500</v>
      </c>
    </row>
    <row r="55" spans="1:2" x14ac:dyDescent="0.25">
      <c r="A55" s="1" t="s">
        <v>542</v>
      </c>
      <c r="B55" t="s">
        <v>527</v>
      </c>
    </row>
    <row r="56" spans="1:2" x14ac:dyDescent="0.25">
      <c r="A56" s="2" t="s">
        <v>545</v>
      </c>
      <c r="B56">
        <v>5.7499999999999991</v>
      </c>
    </row>
    <row r="57" spans="1:2" x14ac:dyDescent="0.25">
      <c r="A57" s="2" t="s">
        <v>544</v>
      </c>
      <c r="B57">
        <v>5.4060975609756117</v>
      </c>
    </row>
    <row r="58" spans="1:2" x14ac:dyDescent="0.25">
      <c r="A58" s="2" t="s">
        <v>543</v>
      </c>
      <c r="B58">
        <v>5.7194029850746269</v>
      </c>
    </row>
    <row r="59" spans="1:2" x14ac:dyDescent="0.25">
      <c r="A59" s="2" t="s">
        <v>553</v>
      </c>
      <c r="B59">
        <v>5.3964285714285714</v>
      </c>
    </row>
    <row r="60" spans="1:2" x14ac:dyDescent="0.25">
      <c r="A60" s="2" t="s">
        <v>519</v>
      </c>
      <c r="B60">
        <v>5.5300000000000011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248B5-970C-46C3-AD03-5703146D10FF}">
  <dimension ref="A1"/>
  <sheetViews>
    <sheetView showGridLines="0" zoomScale="50" zoomScaleNormal="50" zoomScalePageLayoutView="50" workbookViewId="0">
      <selection activeCell="A37" sqref="A37"/>
    </sheetView>
  </sheetViews>
  <sheetFormatPr defaultRowHeight="13.8" x14ac:dyDescent="0.25"/>
  <sheetData/>
  <printOptions horizontalCentered="1" verticalCentered="1"/>
  <pageMargins left="0.23622047244094491" right="0.23622047244094491" top="0.74803149606299213" bottom="0.74803149606299213" header="0.31496062992125984" footer="0.31496062992125984"/>
  <pageSetup paperSize="9" scale="35" orientation="landscape" r:id="rId1"/>
  <headerFooter>
    <oddHeader>&amp;CUpdated: 07 December 2025 | Data Source: Mental Health &amp; Social Media</oddHeader>
    <oddFooter>&amp;C© 2025 Mental Health &amp; Social Media  Dashboard | Designed by Jibin K B
&amp;RPage &amp;P</oddFooter>
  </headerFooter>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FAC6-C93C-45FE-98FF-95780F695FAD}">
  <dimension ref="A1"/>
  <sheetViews>
    <sheetView workbookViewId="0">
      <selection activeCell="C23" sqref="C23"/>
    </sheetView>
  </sheetViews>
  <sheetFormatPr defaultRowHeight="13.8" x14ac:dyDescent="0.25"/>
  <cols>
    <col min="1" max="1" width="26.69921875"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04DE-2CA9-4B3D-AD28-1D8119BA8297}">
  <dimension ref="A3:C20"/>
  <sheetViews>
    <sheetView workbookViewId="0">
      <selection activeCell="A3" sqref="A3"/>
    </sheetView>
  </sheetViews>
  <sheetFormatPr defaultRowHeight="13.8" x14ac:dyDescent="0.25"/>
  <sheetData>
    <row r="3" spans="1:3" x14ac:dyDescent="0.25">
      <c r="A3" s="6"/>
      <c r="B3" s="7"/>
      <c r="C3" s="8"/>
    </row>
    <row r="4" spans="1:3" x14ac:dyDescent="0.25">
      <c r="A4" s="9"/>
      <c r="B4" s="10"/>
      <c r="C4" s="11"/>
    </row>
    <row r="5" spans="1:3" x14ac:dyDescent="0.25">
      <c r="A5" s="9"/>
      <c r="B5" s="10"/>
      <c r="C5" s="11"/>
    </row>
    <row r="6" spans="1:3" x14ac:dyDescent="0.25">
      <c r="A6" s="9"/>
      <c r="B6" s="10"/>
      <c r="C6" s="11"/>
    </row>
    <row r="7" spans="1:3" x14ac:dyDescent="0.25">
      <c r="A7" s="9"/>
      <c r="B7" s="10"/>
      <c r="C7" s="11"/>
    </row>
    <row r="8" spans="1:3" x14ac:dyDescent="0.25">
      <c r="A8" s="9"/>
      <c r="B8" s="10"/>
      <c r="C8" s="11"/>
    </row>
    <row r="9" spans="1:3" x14ac:dyDescent="0.25">
      <c r="A9" s="9"/>
      <c r="B9" s="10"/>
      <c r="C9" s="11"/>
    </row>
    <row r="10" spans="1:3" x14ac:dyDescent="0.25">
      <c r="A10" s="9"/>
      <c r="B10" s="10"/>
      <c r="C10" s="11"/>
    </row>
    <row r="11" spans="1:3" x14ac:dyDescent="0.25">
      <c r="A11" s="9"/>
      <c r="B11" s="10"/>
      <c r="C11" s="11"/>
    </row>
    <row r="12" spans="1:3" x14ac:dyDescent="0.25">
      <c r="A12" s="9"/>
      <c r="B12" s="10"/>
      <c r="C12" s="11"/>
    </row>
    <row r="13" spans="1:3" x14ac:dyDescent="0.25">
      <c r="A13" s="9"/>
      <c r="B13" s="10"/>
      <c r="C13" s="11"/>
    </row>
    <row r="14" spans="1:3" x14ac:dyDescent="0.25">
      <c r="A14" s="9"/>
      <c r="B14" s="10"/>
      <c r="C14" s="11"/>
    </row>
    <row r="15" spans="1:3" x14ac:dyDescent="0.25">
      <c r="A15" s="9"/>
      <c r="B15" s="10"/>
      <c r="C15" s="11"/>
    </row>
    <row r="16" spans="1:3" x14ac:dyDescent="0.25">
      <c r="A16" s="9"/>
      <c r="B16" s="10"/>
      <c r="C16" s="11"/>
    </row>
    <row r="17" spans="1:3" x14ac:dyDescent="0.25">
      <c r="A17" s="9"/>
      <c r="B17" s="10"/>
      <c r="C17" s="11"/>
    </row>
    <row r="18" spans="1:3" x14ac:dyDescent="0.25">
      <c r="A18" s="9"/>
      <c r="B18" s="10"/>
      <c r="C18" s="11"/>
    </row>
    <row r="19" spans="1:3" x14ac:dyDescent="0.25">
      <c r="A19" s="9"/>
      <c r="B19" s="10"/>
      <c r="C19" s="11"/>
    </row>
    <row r="20" spans="1:3" x14ac:dyDescent="0.25">
      <c r="A20" s="12"/>
      <c r="B20" s="13"/>
      <c r="C2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CECF9-2B9E-4D6F-B62E-D01118745EA2}">
  <dimension ref="A1:N501"/>
  <sheetViews>
    <sheetView zoomScale="57" workbookViewId="0">
      <selection activeCell="P51" sqref="P51"/>
    </sheetView>
  </sheetViews>
  <sheetFormatPr defaultRowHeight="13.8" x14ac:dyDescent="0.25"/>
  <cols>
    <col min="1" max="1" width="9.09765625" customWidth="1"/>
    <col min="3" max="3" width="14" customWidth="1"/>
    <col min="4" max="4" width="28.69921875" customWidth="1"/>
    <col min="5" max="5" width="24.19921875" customWidth="1"/>
    <col min="6" max="6" width="21.69921875" customWidth="1"/>
    <col min="7" max="7" width="26" customWidth="1"/>
    <col min="8" max="8" width="33.69921875" customWidth="1"/>
    <col min="9" max="9" width="29.296875" customWidth="1"/>
    <col min="10" max="10" width="22" customWidth="1"/>
    <col min="11" max="11" width="14.796875" customWidth="1"/>
    <col min="12" max="12" width="26.09765625" customWidth="1"/>
    <col min="13" max="13" width="22.296875" customWidth="1"/>
    <col min="14" max="14" width="27.796875" customWidth="1"/>
  </cols>
  <sheetData>
    <row r="1" spans="1:14" x14ac:dyDescent="0.25">
      <c r="A1" t="s">
        <v>0</v>
      </c>
      <c r="B1" t="s">
        <v>1</v>
      </c>
      <c r="C1" t="s">
        <v>2</v>
      </c>
      <c r="D1" t="s">
        <v>3</v>
      </c>
      <c r="E1" t="s">
        <v>4</v>
      </c>
      <c r="F1" t="s">
        <v>5</v>
      </c>
      <c r="G1" t="s">
        <v>6</v>
      </c>
      <c r="H1" t="s">
        <v>7</v>
      </c>
      <c r="I1" t="s">
        <v>8</v>
      </c>
      <c r="J1" t="s">
        <v>9</v>
      </c>
      <c r="K1" s="3" t="s">
        <v>522</v>
      </c>
      <c r="L1" s="3" t="s">
        <v>524</v>
      </c>
      <c r="M1" s="3" t="s">
        <v>525</v>
      </c>
      <c r="N1" s="3" t="s">
        <v>526</v>
      </c>
    </row>
    <row r="2" spans="1:14" x14ac:dyDescent="0.25">
      <c r="A2" t="s">
        <v>10</v>
      </c>
      <c r="B2">
        <v>44</v>
      </c>
      <c r="C2" t="s">
        <v>11</v>
      </c>
      <c r="D2">
        <v>3.1</v>
      </c>
      <c r="E2">
        <v>7</v>
      </c>
      <c r="F2">
        <v>6</v>
      </c>
      <c r="G2">
        <v>2</v>
      </c>
      <c r="H2">
        <v>5</v>
      </c>
      <c r="I2" t="s">
        <v>12</v>
      </c>
      <c r="J2">
        <v>10</v>
      </c>
      <c r="K2" t="str">
        <f t="shared" ref="K2:K65" si="0">IF(B2&lt;=25,"15–25",IF(B2&lt;=35,"26–35",IF(B2&lt;=45,"36–45","46+")))</f>
        <v>36–45</v>
      </c>
      <c r="L2" t="str">
        <f>IF(Table1[[#This Row],[Daily_Screen_Time(hrs)]]&lt;=3,"Low",IF(Table1[[#This Row],[Daily_Screen_Time(hrs)]]&lt;=6,"Medium","High"))</f>
        <v>Medium</v>
      </c>
      <c r="M2" t="str">
        <f>IF(Table1[[#This Row],[Stress_Level(1-10)]]&lt;=4,"Low",IF(Table1[[#This Row],[Stress_Level(1-10)]]&lt;=7,"Medium","High"))</f>
        <v>Medium</v>
      </c>
      <c r="N2" t="str">
        <f>IF(Table1[[#This Row],[Happiness_Index(1-10)]]&lt;=4,"Low",IF(Table1[[#This Row],[Happiness_Index(1-10)]]&lt;=7,"Normal","High"))</f>
        <v>High</v>
      </c>
    </row>
    <row r="3" spans="1:14" x14ac:dyDescent="0.25">
      <c r="A3" t="s">
        <v>13</v>
      </c>
      <c r="B3">
        <v>30</v>
      </c>
      <c r="C3" t="s">
        <v>14</v>
      </c>
      <c r="D3">
        <v>5.0999999999999996</v>
      </c>
      <c r="E3">
        <v>7</v>
      </c>
      <c r="F3">
        <v>8</v>
      </c>
      <c r="G3">
        <v>5</v>
      </c>
      <c r="H3">
        <v>3</v>
      </c>
      <c r="I3" t="s">
        <v>15</v>
      </c>
      <c r="J3">
        <v>10</v>
      </c>
      <c r="K3" t="str">
        <f t="shared" si="0"/>
        <v>26–35</v>
      </c>
      <c r="L3" t="str">
        <f>IF(Table1[[#This Row],[Daily_Screen_Time(hrs)]]&lt;=3,"Low",IF(Table1[[#This Row],[Daily_Screen_Time(hrs)]]&lt;=6,"Medium","High"))</f>
        <v>Medium</v>
      </c>
      <c r="M3" t="str">
        <f>IF(Table1[[#This Row],[Stress_Level(1-10)]]&lt;=4,"Low",IF(Table1[[#This Row],[Stress_Level(1-10)]]&lt;=7,"Medium","High"))</f>
        <v>High</v>
      </c>
      <c r="N3" t="str">
        <f>IF(Table1[[#This Row],[Happiness_Index(1-10)]]&lt;=4,"Low",IF(Table1[[#This Row],[Happiness_Index(1-10)]]&lt;=7,"Normal","High"))</f>
        <v>High</v>
      </c>
    </row>
    <row r="4" spans="1:14" x14ac:dyDescent="0.25">
      <c r="A4" t="s">
        <v>16</v>
      </c>
      <c r="B4">
        <v>23</v>
      </c>
      <c r="C4" t="s">
        <v>14</v>
      </c>
      <c r="D4">
        <v>7.4</v>
      </c>
      <c r="E4">
        <v>6</v>
      </c>
      <c r="F4">
        <v>7</v>
      </c>
      <c r="G4">
        <v>1</v>
      </c>
      <c r="H4">
        <v>3</v>
      </c>
      <c r="I4" t="s">
        <v>17</v>
      </c>
      <c r="J4">
        <v>6</v>
      </c>
      <c r="K4" t="str">
        <f t="shared" si="0"/>
        <v>15–25</v>
      </c>
      <c r="L4" t="str">
        <f>IF(Table1[[#This Row],[Daily_Screen_Time(hrs)]]&lt;=3,"Low",IF(Table1[[#This Row],[Daily_Screen_Time(hrs)]]&lt;=6,"Medium","High"))</f>
        <v>High</v>
      </c>
      <c r="M4" t="str">
        <f>IF(Table1[[#This Row],[Stress_Level(1-10)]]&lt;=4,"Low",IF(Table1[[#This Row],[Stress_Level(1-10)]]&lt;=7,"Medium","High"))</f>
        <v>Medium</v>
      </c>
      <c r="N4" t="str">
        <f>IF(Table1[[#This Row],[Happiness_Index(1-10)]]&lt;=4,"Low",IF(Table1[[#This Row],[Happiness_Index(1-10)]]&lt;=7,"Normal","High"))</f>
        <v>Normal</v>
      </c>
    </row>
    <row r="5" spans="1:14" x14ac:dyDescent="0.25">
      <c r="A5" t="s">
        <v>18</v>
      </c>
      <c r="B5">
        <v>36</v>
      </c>
      <c r="C5" t="s">
        <v>19</v>
      </c>
      <c r="D5">
        <v>5.7</v>
      </c>
      <c r="E5">
        <v>7</v>
      </c>
      <c r="F5">
        <v>8</v>
      </c>
      <c r="G5">
        <v>1</v>
      </c>
      <c r="H5">
        <v>1</v>
      </c>
      <c r="I5" t="s">
        <v>20</v>
      </c>
      <c r="J5">
        <v>8</v>
      </c>
      <c r="K5" t="str">
        <f t="shared" si="0"/>
        <v>36–45</v>
      </c>
      <c r="L5" t="str">
        <f>IF(Table1[[#This Row],[Daily_Screen_Time(hrs)]]&lt;=3,"Low",IF(Table1[[#This Row],[Daily_Screen_Time(hrs)]]&lt;=6,"Medium","High"))</f>
        <v>Medium</v>
      </c>
      <c r="M5" t="str">
        <f>IF(Table1[[#This Row],[Stress_Level(1-10)]]&lt;=4,"Low",IF(Table1[[#This Row],[Stress_Level(1-10)]]&lt;=7,"Medium","High"))</f>
        <v>High</v>
      </c>
      <c r="N5" t="str">
        <f>IF(Table1[[#This Row],[Happiness_Index(1-10)]]&lt;=4,"Low",IF(Table1[[#This Row],[Happiness_Index(1-10)]]&lt;=7,"Normal","High"))</f>
        <v>High</v>
      </c>
    </row>
    <row r="6" spans="1:14" x14ac:dyDescent="0.25">
      <c r="A6" t="s">
        <v>21</v>
      </c>
      <c r="B6">
        <v>34</v>
      </c>
      <c r="C6" t="s">
        <v>19</v>
      </c>
      <c r="D6">
        <v>7</v>
      </c>
      <c r="E6">
        <v>4</v>
      </c>
      <c r="F6">
        <v>7</v>
      </c>
      <c r="G6">
        <v>5</v>
      </c>
      <c r="H6">
        <v>1</v>
      </c>
      <c r="I6" t="s">
        <v>22</v>
      </c>
      <c r="J6">
        <v>8</v>
      </c>
      <c r="K6" t="str">
        <f t="shared" si="0"/>
        <v>26–35</v>
      </c>
      <c r="L6" t="str">
        <f>IF(Table1[[#This Row],[Daily_Screen_Time(hrs)]]&lt;=3,"Low",IF(Table1[[#This Row],[Daily_Screen_Time(hrs)]]&lt;=6,"Medium","High"))</f>
        <v>High</v>
      </c>
      <c r="M6" t="str">
        <f>IF(Table1[[#This Row],[Stress_Level(1-10)]]&lt;=4,"Low",IF(Table1[[#This Row],[Stress_Level(1-10)]]&lt;=7,"Medium","High"))</f>
        <v>Medium</v>
      </c>
      <c r="N6" t="str">
        <f>IF(Table1[[#This Row],[Happiness_Index(1-10)]]&lt;=4,"Low",IF(Table1[[#This Row],[Happiness_Index(1-10)]]&lt;=7,"Normal","High"))</f>
        <v>High</v>
      </c>
    </row>
    <row r="7" spans="1:14" x14ac:dyDescent="0.25">
      <c r="A7" t="s">
        <v>23</v>
      </c>
      <c r="B7">
        <v>38</v>
      </c>
      <c r="C7" t="s">
        <v>11</v>
      </c>
      <c r="D7">
        <v>6.6</v>
      </c>
      <c r="E7">
        <v>5</v>
      </c>
      <c r="F7">
        <v>7</v>
      </c>
      <c r="G7">
        <v>4</v>
      </c>
      <c r="H7">
        <v>3</v>
      </c>
      <c r="I7" t="s">
        <v>15</v>
      </c>
      <c r="J7">
        <v>8</v>
      </c>
      <c r="K7" t="str">
        <f t="shared" si="0"/>
        <v>36–45</v>
      </c>
      <c r="L7" t="str">
        <f>IF(Table1[[#This Row],[Daily_Screen_Time(hrs)]]&lt;=3,"Low",IF(Table1[[#This Row],[Daily_Screen_Time(hrs)]]&lt;=6,"Medium","High"))</f>
        <v>High</v>
      </c>
      <c r="M7" t="str">
        <f>IF(Table1[[#This Row],[Stress_Level(1-10)]]&lt;=4,"Low",IF(Table1[[#This Row],[Stress_Level(1-10)]]&lt;=7,"Medium","High"))</f>
        <v>Medium</v>
      </c>
      <c r="N7" t="str">
        <f>IF(Table1[[#This Row],[Happiness_Index(1-10)]]&lt;=4,"Low",IF(Table1[[#This Row],[Happiness_Index(1-10)]]&lt;=7,"Normal","High"))</f>
        <v>High</v>
      </c>
    </row>
    <row r="8" spans="1:14" x14ac:dyDescent="0.25">
      <c r="A8" t="s">
        <v>24</v>
      </c>
      <c r="B8">
        <v>26</v>
      </c>
      <c r="C8" t="s">
        <v>19</v>
      </c>
      <c r="D8">
        <v>7.8</v>
      </c>
      <c r="E8">
        <v>4</v>
      </c>
      <c r="F8">
        <v>8</v>
      </c>
      <c r="G8">
        <v>2</v>
      </c>
      <c r="H8">
        <v>0</v>
      </c>
      <c r="I8" t="s">
        <v>20</v>
      </c>
      <c r="J8">
        <v>7</v>
      </c>
      <c r="K8" t="str">
        <f t="shared" si="0"/>
        <v>26–35</v>
      </c>
      <c r="L8" t="str">
        <f>IF(Table1[[#This Row],[Daily_Screen_Time(hrs)]]&lt;=3,"Low",IF(Table1[[#This Row],[Daily_Screen_Time(hrs)]]&lt;=6,"Medium","High"))</f>
        <v>High</v>
      </c>
      <c r="M8" t="str">
        <f>IF(Table1[[#This Row],[Stress_Level(1-10)]]&lt;=4,"Low",IF(Table1[[#This Row],[Stress_Level(1-10)]]&lt;=7,"Medium","High"))</f>
        <v>High</v>
      </c>
      <c r="N8" t="str">
        <f>IF(Table1[[#This Row],[Happiness_Index(1-10)]]&lt;=4,"Low",IF(Table1[[#This Row],[Happiness_Index(1-10)]]&lt;=7,"Normal","High"))</f>
        <v>Normal</v>
      </c>
    </row>
    <row r="9" spans="1:14" x14ac:dyDescent="0.25">
      <c r="A9" t="s">
        <v>25</v>
      </c>
      <c r="B9">
        <v>26</v>
      </c>
      <c r="C9" t="s">
        <v>19</v>
      </c>
      <c r="D9">
        <v>7.4</v>
      </c>
      <c r="E9">
        <v>5</v>
      </c>
      <c r="F9">
        <v>6</v>
      </c>
      <c r="G9">
        <v>1</v>
      </c>
      <c r="H9">
        <v>4</v>
      </c>
      <c r="I9" t="s">
        <v>26</v>
      </c>
      <c r="J9">
        <v>7</v>
      </c>
      <c r="K9" t="str">
        <f t="shared" si="0"/>
        <v>26–35</v>
      </c>
      <c r="L9" t="str">
        <f>IF(Table1[[#This Row],[Daily_Screen_Time(hrs)]]&lt;=3,"Low",IF(Table1[[#This Row],[Daily_Screen_Time(hrs)]]&lt;=6,"Medium","High"))</f>
        <v>High</v>
      </c>
      <c r="M9" t="str">
        <f>IF(Table1[[#This Row],[Stress_Level(1-10)]]&lt;=4,"Low",IF(Table1[[#This Row],[Stress_Level(1-10)]]&lt;=7,"Medium","High"))</f>
        <v>Medium</v>
      </c>
      <c r="N9" t="str">
        <f>IF(Table1[[#This Row],[Happiness_Index(1-10)]]&lt;=4,"Low",IF(Table1[[#This Row],[Happiness_Index(1-10)]]&lt;=7,"Normal","High"))</f>
        <v>Normal</v>
      </c>
    </row>
    <row r="10" spans="1:14" x14ac:dyDescent="0.25">
      <c r="A10" t="s">
        <v>27</v>
      </c>
      <c r="B10">
        <v>39</v>
      </c>
      <c r="C10" t="s">
        <v>11</v>
      </c>
      <c r="D10">
        <v>4.7</v>
      </c>
      <c r="E10">
        <v>7</v>
      </c>
      <c r="F10">
        <v>7</v>
      </c>
      <c r="G10">
        <v>6</v>
      </c>
      <c r="H10">
        <v>1</v>
      </c>
      <c r="I10" t="s">
        <v>17</v>
      </c>
      <c r="J10">
        <v>9</v>
      </c>
      <c r="K10" t="str">
        <f t="shared" si="0"/>
        <v>36–45</v>
      </c>
      <c r="L10" t="str">
        <f>IF(Table1[[#This Row],[Daily_Screen_Time(hrs)]]&lt;=3,"Low",IF(Table1[[#This Row],[Daily_Screen_Time(hrs)]]&lt;=6,"Medium","High"))</f>
        <v>Medium</v>
      </c>
      <c r="M10" t="str">
        <f>IF(Table1[[#This Row],[Stress_Level(1-10)]]&lt;=4,"Low",IF(Table1[[#This Row],[Stress_Level(1-10)]]&lt;=7,"Medium","High"))</f>
        <v>Medium</v>
      </c>
      <c r="N10" t="str">
        <f>IF(Table1[[#This Row],[Happiness_Index(1-10)]]&lt;=4,"Low",IF(Table1[[#This Row],[Happiness_Index(1-10)]]&lt;=7,"Normal","High"))</f>
        <v>High</v>
      </c>
    </row>
    <row r="11" spans="1:14" x14ac:dyDescent="0.25">
      <c r="A11" t="s">
        <v>28</v>
      </c>
      <c r="B11">
        <v>39</v>
      </c>
      <c r="C11" t="s">
        <v>19</v>
      </c>
      <c r="D11">
        <v>6.6</v>
      </c>
      <c r="E11">
        <v>6</v>
      </c>
      <c r="F11">
        <v>8</v>
      </c>
      <c r="G11">
        <v>0</v>
      </c>
      <c r="H11">
        <v>0</v>
      </c>
      <c r="I11" t="s">
        <v>12</v>
      </c>
      <c r="J11">
        <v>7</v>
      </c>
      <c r="K11" t="str">
        <f t="shared" si="0"/>
        <v>36–45</v>
      </c>
      <c r="L11" t="str">
        <f>IF(Table1[[#This Row],[Daily_Screen_Time(hrs)]]&lt;=3,"Low",IF(Table1[[#This Row],[Daily_Screen_Time(hrs)]]&lt;=6,"Medium","High"))</f>
        <v>High</v>
      </c>
      <c r="M11" t="str">
        <f>IF(Table1[[#This Row],[Stress_Level(1-10)]]&lt;=4,"Low",IF(Table1[[#This Row],[Stress_Level(1-10)]]&lt;=7,"Medium","High"))</f>
        <v>High</v>
      </c>
      <c r="N11" t="str">
        <f>IF(Table1[[#This Row],[Happiness_Index(1-10)]]&lt;=4,"Low",IF(Table1[[#This Row],[Happiness_Index(1-10)]]&lt;=7,"Normal","High"))</f>
        <v>Normal</v>
      </c>
    </row>
    <row r="12" spans="1:14" x14ac:dyDescent="0.25">
      <c r="A12" t="s">
        <v>29</v>
      </c>
      <c r="B12">
        <v>18</v>
      </c>
      <c r="C12" t="s">
        <v>19</v>
      </c>
      <c r="D12">
        <v>2.8</v>
      </c>
      <c r="E12">
        <v>7</v>
      </c>
      <c r="F12">
        <v>6</v>
      </c>
      <c r="G12">
        <v>2</v>
      </c>
      <c r="H12">
        <v>0</v>
      </c>
      <c r="I12" t="s">
        <v>26</v>
      </c>
      <c r="J12">
        <v>7</v>
      </c>
      <c r="K12" t="str">
        <f t="shared" si="0"/>
        <v>15–25</v>
      </c>
      <c r="L12" t="str">
        <f>IF(Table1[[#This Row],[Daily_Screen_Time(hrs)]]&lt;=3,"Low",IF(Table1[[#This Row],[Daily_Screen_Time(hrs)]]&lt;=6,"Medium","High"))</f>
        <v>Low</v>
      </c>
      <c r="M12" t="str">
        <f>IF(Table1[[#This Row],[Stress_Level(1-10)]]&lt;=4,"Low",IF(Table1[[#This Row],[Stress_Level(1-10)]]&lt;=7,"Medium","High"))</f>
        <v>Medium</v>
      </c>
      <c r="N12" t="str">
        <f>IF(Table1[[#This Row],[Happiness_Index(1-10)]]&lt;=4,"Low",IF(Table1[[#This Row],[Happiness_Index(1-10)]]&lt;=7,"Normal","High"))</f>
        <v>Normal</v>
      </c>
    </row>
    <row r="13" spans="1:14" x14ac:dyDescent="0.25">
      <c r="A13" t="s">
        <v>30</v>
      </c>
      <c r="B13">
        <v>37</v>
      </c>
      <c r="C13" t="s">
        <v>14</v>
      </c>
      <c r="D13">
        <v>5.4</v>
      </c>
      <c r="E13">
        <v>5</v>
      </c>
      <c r="F13">
        <v>7</v>
      </c>
      <c r="G13">
        <v>3</v>
      </c>
      <c r="H13">
        <v>2</v>
      </c>
      <c r="I13" t="s">
        <v>26</v>
      </c>
      <c r="J13">
        <v>9</v>
      </c>
      <c r="K13" t="str">
        <f t="shared" si="0"/>
        <v>36–45</v>
      </c>
      <c r="L13" t="str">
        <f>IF(Table1[[#This Row],[Daily_Screen_Time(hrs)]]&lt;=3,"Low",IF(Table1[[#This Row],[Daily_Screen_Time(hrs)]]&lt;=6,"Medium","High"))</f>
        <v>Medium</v>
      </c>
      <c r="M13" t="str">
        <f>IF(Table1[[#This Row],[Stress_Level(1-10)]]&lt;=4,"Low",IF(Table1[[#This Row],[Stress_Level(1-10)]]&lt;=7,"Medium","High"))</f>
        <v>Medium</v>
      </c>
      <c r="N13" t="str">
        <f>IF(Table1[[#This Row],[Happiness_Index(1-10)]]&lt;=4,"Low",IF(Table1[[#This Row],[Happiness_Index(1-10)]]&lt;=7,"Normal","High"))</f>
        <v>High</v>
      </c>
    </row>
    <row r="14" spans="1:14" x14ac:dyDescent="0.25">
      <c r="A14" t="s">
        <v>31</v>
      </c>
      <c r="B14">
        <v>17</v>
      </c>
      <c r="C14" t="s">
        <v>19</v>
      </c>
      <c r="D14">
        <v>7</v>
      </c>
      <c r="E14">
        <v>7</v>
      </c>
      <c r="F14">
        <v>10</v>
      </c>
      <c r="G14">
        <v>7</v>
      </c>
      <c r="H14">
        <v>1</v>
      </c>
      <c r="I14" t="s">
        <v>17</v>
      </c>
      <c r="J14">
        <v>8</v>
      </c>
      <c r="K14" t="str">
        <f t="shared" si="0"/>
        <v>15–25</v>
      </c>
      <c r="L14" t="str">
        <f>IF(Table1[[#This Row],[Daily_Screen_Time(hrs)]]&lt;=3,"Low",IF(Table1[[#This Row],[Daily_Screen_Time(hrs)]]&lt;=6,"Medium","High"))</f>
        <v>High</v>
      </c>
      <c r="M14" t="str">
        <f>IF(Table1[[#This Row],[Stress_Level(1-10)]]&lt;=4,"Low",IF(Table1[[#This Row],[Stress_Level(1-10)]]&lt;=7,"Medium","High"))</f>
        <v>High</v>
      </c>
      <c r="N14" t="str">
        <f>IF(Table1[[#This Row],[Happiness_Index(1-10)]]&lt;=4,"Low",IF(Table1[[#This Row],[Happiness_Index(1-10)]]&lt;=7,"Normal","High"))</f>
        <v>High</v>
      </c>
    </row>
    <row r="15" spans="1:14" x14ac:dyDescent="0.25">
      <c r="A15" t="s">
        <v>32</v>
      </c>
      <c r="B15">
        <v>39</v>
      </c>
      <c r="C15" t="s">
        <v>19</v>
      </c>
      <c r="D15">
        <v>5.7</v>
      </c>
      <c r="E15">
        <v>5</v>
      </c>
      <c r="F15">
        <v>7</v>
      </c>
      <c r="G15">
        <v>4</v>
      </c>
      <c r="H15">
        <v>0</v>
      </c>
      <c r="I15" t="s">
        <v>12</v>
      </c>
      <c r="J15">
        <v>8</v>
      </c>
      <c r="K15" t="str">
        <f t="shared" si="0"/>
        <v>36–45</v>
      </c>
      <c r="L15" t="str">
        <f>IF(Table1[[#This Row],[Daily_Screen_Time(hrs)]]&lt;=3,"Low",IF(Table1[[#This Row],[Daily_Screen_Time(hrs)]]&lt;=6,"Medium","High"))</f>
        <v>Medium</v>
      </c>
      <c r="M15" t="str">
        <f>IF(Table1[[#This Row],[Stress_Level(1-10)]]&lt;=4,"Low",IF(Table1[[#This Row],[Stress_Level(1-10)]]&lt;=7,"Medium","High"))</f>
        <v>Medium</v>
      </c>
      <c r="N15" t="str">
        <f>IF(Table1[[#This Row],[Happiness_Index(1-10)]]&lt;=4,"Low",IF(Table1[[#This Row],[Happiness_Index(1-10)]]&lt;=7,"Normal","High"))</f>
        <v>High</v>
      </c>
    </row>
    <row r="16" spans="1:14" x14ac:dyDescent="0.25">
      <c r="A16" t="s">
        <v>33</v>
      </c>
      <c r="B16">
        <v>45</v>
      </c>
      <c r="C16" t="s">
        <v>11</v>
      </c>
      <c r="D16">
        <v>6.3</v>
      </c>
      <c r="E16">
        <v>7</v>
      </c>
      <c r="F16">
        <v>7</v>
      </c>
      <c r="G16">
        <v>4</v>
      </c>
      <c r="H16">
        <v>3</v>
      </c>
      <c r="I16" t="s">
        <v>22</v>
      </c>
      <c r="J16">
        <v>9</v>
      </c>
      <c r="K16" t="str">
        <f t="shared" si="0"/>
        <v>36–45</v>
      </c>
      <c r="L16" t="str">
        <f>IF(Table1[[#This Row],[Daily_Screen_Time(hrs)]]&lt;=3,"Low",IF(Table1[[#This Row],[Daily_Screen_Time(hrs)]]&lt;=6,"Medium","High"))</f>
        <v>High</v>
      </c>
      <c r="M16" t="str">
        <f>IF(Table1[[#This Row],[Stress_Level(1-10)]]&lt;=4,"Low",IF(Table1[[#This Row],[Stress_Level(1-10)]]&lt;=7,"Medium","High"))</f>
        <v>Medium</v>
      </c>
      <c r="N16" t="str">
        <f>IF(Table1[[#This Row],[Happiness_Index(1-10)]]&lt;=4,"Low",IF(Table1[[#This Row],[Happiness_Index(1-10)]]&lt;=7,"Normal","High"))</f>
        <v>High</v>
      </c>
    </row>
    <row r="17" spans="1:14" x14ac:dyDescent="0.25">
      <c r="A17" t="s">
        <v>34</v>
      </c>
      <c r="B17">
        <v>17</v>
      </c>
      <c r="C17" t="s">
        <v>19</v>
      </c>
      <c r="D17">
        <v>5.0999999999999996</v>
      </c>
      <c r="E17">
        <v>7</v>
      </c>
      <c r="F17">
        <v>6</v>
      </c>
      <c r="G17">
        <v>2</v>
      </c>
      <c r="H17">
        <v>5</v>
      </c>
      <c r="I17" t="s">
        <v>15</v>
      </c>
      <c r="J17">
        <v>10</v>
      </c>
      <c r="K17" t="str">
        <f t="shared" si="0"/>
        <v>15–25</v>
      </c>
      <c r="L17" t="str">
        <f>IF(Table1[[#This Row],[Daily_Screen_Time(hrs)]]&lt;=3,"Low",IF(Table1[[#This Row],[Daily_Screen_Time(hrs)]]&lt;=6,"Medium","High"))</f>
        <v>Medium</v>
      </c>
      <c r="M17" t="str">
        <f>IF(Table1[[#This Row],[Stress_Level(1-10)]]&lt;=4,"Low",IF(Table1[[#This Row],[Stress_Level(1-10)]]&lt;=7,"Medium","High"))</f>
        <v>Medium</v>
      </c>
      <c r="N17" t="str">
        <f>IF(Table1[[#This Row],[Happiness_Index(1-10)]]&lt;=4,"Low",IF(Table1[[#This Row],[Happiness_Index(1-10)]]&lt;=7,"Normal","High"))</f>
        <v>High</v>
      </c>
    </row>
    <row r="18" spans="1:14" x14ac:dyDescent="0.25">
      <c r="A18" t="s">
        <v>35</v>
      </c>
      <c r="B18">
        <v>36</v>
      </c>
      <c r="C18" t="s">
        <v>19</v>
      </c>
      <c r="D18">
        <v>7.5</v>
      </c>
      <c r="E18">
        <v>5</v>
      </c>
      <c r="F18">
        <v>8</v>
      </c>
      <c r="G18">
        <v>4</v>
      </c>
      <c r="H18">
        <v>4</v>
      </c>
      <c r="I18" t="s">
        <v>12</v>
      </c>
      <c r="J18">
        <v>7</v>
      </c>
      <c r="K18" t="str">
        <f t="shared" si="0"/>
        <v>36–45</v>
      </c>
      <c r="L18" t="str">
        <f>IF(Table1[[#This Row],[Daily_Screen_Time(hrs)]]&lt;=3,"Low",IF(Table1[[#This Row],[Daily_Screen_Time(hrs)]]&lt;=6,"Medium","High"))</f>
        <v>High</v>
      </c>
      <c r="M18" t="str">
        <f>IF(Table1[[#This Row],[Stress_Level(1-10)]]&lt;=4,"Low",IF(Table1[[#This Row],[Stress_Level(1-10)]]&lt;=7,"Medium","High"))</f>
        <v>High</v>
      </c>
      <c r="N18" t="str">
        <f>IF(Table1[[#This Row],[Happiness_Index(1-10)]]&lt;=4,"Low",IF(Table1[[#This Row],[Happiness_Index(1-10)]]&lt;=7,"Normal","High"))</f>
        <v>Normal</v>
      </c>
    </row>
    <row r="19" spans="1:14" x14ac:dyDescent="0.25">
      <c r="A19" t="s">
        <v>36</v>
      </c>
      <c r="B19">
        <v>48</v>
      </c>
      <c r="C19" t="s">
        <v>11</v>
      </c>
      <c r="D19">
        <v>5.4</v>
      </c>
      <c r="E19">
        <v>6</v>
      </c>
      <c r="F19">
        <v>4</v>
      </c>
      <c r="G19">
        <v>3</v>
      </c>
      <c r="H19">
        <v>4</v>
      </c>
      <c r="I19" t="s">
        <v>20</v>
      </c>
      <c r="J19">
        <v>7</v>
      </c>
      <c r="K19" t="str">
        <f t="shared" si="0"/>
        <v>46+</v>
      </c>
      <c r="L19" t="str">
        <f>IF(Table1[[#This Row],[Daily_Screen_Time(hrs)]]&lt;=3,"Low",IF(Table1[[#This Row],[Daily_Screen_Time(hrs)]]&lt;=6,"Medium","High"))</f>
        <v>Medium</v>
      </c>
      <c r="M19" t="str">
        <f>IF(Table1[[#This Row],[Stress_Level(1-10)]]&lt;=4,"Low",IF(Table1[[#This Row],[Stress_Level(1-10)]]&lt;=7,"Medium","High"))</f>
        <v>Low</v>
      </c>
      <c r="N19" t="str">
        <f>IF(Table1[[#This Row],[Happiness_Index(1-10)]]&lt;=4,"Low",IF(Table1[[#This Row],[Happiness_Index(1-10)]]&lt;=7,"Normal","High"))</f>
        <v>Normal</v>
      </c>
    </row>
    <row r="20" spans="1:14" x14ac:dyDescent="0.25">
      <c r="A20" t="s">
        <v>37</v>
      </c>
      <c r="B20">
        <v>27</v>
      </c>
      <c r="C20" t="s">
        <v>11</v>
      </c>
      <c r="D20">
        <v>4.7</v>
      </c>
      <c r="E20">
        <v>6</v>
      </c>
      <c r="F20">
        <v>6</v>
      </c>
      <c r="G20">
        <v>0</v>
      </c>
      <c r="H20">
        <v>2</v>
      </c>
      <c r="I20" t="s">
        <v>26</v>
      </c>
      <c r="J20">
        <v>9</v>
      </c>
      <c r="K20" t="str">
        <f t="shared" si="0"/>
        <v>26–35</v>
      </c>
      <c r="L20" t="str">
        <f>IF(Table1[[#This Row],[Daily_Screen_Time(hrs)]]&lt;=3,"Low",IF(Table1[[#This Row],[Daily_Screen_Time(hrs)]]&lt;=6,"Medium","High"))</f>
        <v>Medium</v>
      </c>
      <c r="M20" t="str">
        <f>IF(Table1[[#This Row],[Stress_Level(1-10)]]&lt;=4,"Low",IF(Table1[[#This Row],[Stress_Level(1-10)]]&lt;=7,"Medium","High"))</f>
        <v>Medium</v>
      </c>
      <c r="N20" t="str">
        <f>IF(Table1[[#This Row],[Happiness_Index(1-10)]]&lt;=4,"Low",IF(Table1[[#This Row],[Happiness_Index(1-10)]]&lt;=7,"Normal","High"))</f>
        <v>High</v>
      </c>
    </row>
    <row r="21" spans="1:14" x14ac:dyDescent="0.25">
      <c r="A21" t="s">
        <v>38</v>
      </c>
      <c r="B21">
        <v>37</v>
      </c>
      <c r="C21" t="s">
        <v>11</v>
      </c>
      <c r="D21">
        <v>7.1</v>
      </c>
      <c r="E21">
        <v>6</v>
      </c>
      <c r="F21">
        <v>6</v>
      </c>
      <c r="G21">
        <v>5</v>
      </c>
      <c r="H21">
        <v>4</v>
      </c>
      <c r="I21" t="s">
        <v>20</v>
      </c>
      <c r="J21">
        <v>10</v>
      </c>
      <c r="K21" t="str">
        <f t="shared" si="0"/>
        <v>36–45</v>
      </c>
      <c r="L21" t="str">
        <f>IF(Table1[[#This Row],[Daily_Screen_Time(hrs)]]&lt;=3,"Low",IF(Table1[[#This Row],[Daily_Screen_Time(hrs)]]&lt;=6,"Medium","High"))</f>
        <v>High</v>
      </c>
      <c r="M21" t="str">
        <f>IF(Table1[[#This Row],[Stress_Level(1-10)]]&lt;=4,"Low",IF(Table1[[#This Row],[Stress_Level(1-10)]]&lt;=7,"Medium","High"))</f>
        <v>Medium</v>
      </c>
      <c r="N21" t="str">
        <f>IF(Table1[[#This Row],[Happiness_Index(1-10)]]&lt;=4,"Low",IF(Table1[[#This Row],[Happiness_Index(1-10)]]&lt;=7,"Normal","High"))</f>
        <v>High</v>
      </c>
    </row>
    <row r="22" spans="1:14" x14ac:dyDescent="0.25">
      <c r="A22" t="s">
        <v>39</v>
      </c>
      <c r="B22">
        <v>40</v>
      </c>
      <c r="C22" t="s">
        <v>19</v>
      </c>
      <c r="D22">
        <v>3</v>
      </c>
      <c r="E22">
        <v>8</v>
      </c>
      <c r="F22">
        <v>5</v>
      </c>
      <c r="G22">
        <v>5</v>
      </c>
      <c r="H22">
        <v>4</v>
      </c>
      <c r="I22" t="s">
        <v>22</v>
      </c>
      <c r="J22">
        <v>10</v>
      </c>
      <c r="K22" t="str">
        <f t="shared" si="0"/>
        <v>36–45</v>
      </c>
      <c r="L22" t="str">
        <f>IF(Table1[[#This Row],[Daily_Screen_Time(hrs)]]&lt;=3,"Low",IF(Table1[[#This Row],[Daily_Screen_Time(hrs)]]&lt;=6,"Medium","High"))</f>
        <v>Low</v>
      </c>
      <c r="M22" t="str">
        <f>IF(Table1[[#This Row],[Stress_Level(1-10)]]&lt;=4,"Low",IF(Table1[[#This Row],[Stress_Level(1-10)]]&lt;=7,"Medium","High"))</f>
        <v>Medium</v>
      </c>
      <c r="N22" t="str">
        <f>IF(Table1[[#This Row],[Happiness_Index(1-10)]]&lt;=4,"Low",IF(Table1[[#This Row],[Happiness_Index(1-10)]]&lt;=7,"Normal","High"))</f>
        <v>High</v>
      </c>
    </row>
    <row r="23" spans="1:14" x14ac:dyDescent="0.25">
      <c r="A23" t="s">
        <v>40</v>
      </c>
      <c r="B23">
        <v>42</v>
      </c>
      <c r="C23" t="s">
        <v>14</v>
      </c>
      <c r="D23">
        <v>6.4</v>
      </c>
      <c r="E23">
        <v>7</v>
      </c>
      <c r="F23">
        <v>6</v>
      </c>
      <c r="G23">
        <v>5</v>
      </c>
      <c r="H23">
        <v>3</v>
      </c>
      <c r="I23" t="s">
        <v>20</v>
      </c>
      <c r="J23">
        <v>10</v>
      </c>
      <c r="K23" t="str">
        <f t="shared" si="0"/>
        <v>36–45</v>
      </c>
      <c r="L23" t="str">
        <f>IF(Table1[[#This Row],[Daily_Screen_Time(hrs)]]&lt;=3,"Low",IF(Table1[[#This Row],[Daily_Screen_Time(hrs)]]&lt;=6,"Medium","High"))</f>
        <v>High</v>
      </c>
      <c r="M23" t="str">
        <f>IF(Table1[[#This Row],[Stress_Level(1-10)]]&lt;=4,"Low",IF(Table1[[#This Row],[Stress_Level(1-10)]]&lt;=7,"Medium","High"))</f>
        <v>Medium</v>
      </c>
      <c r="N23" t="str">
        <f>IF(Table1[[#This Row],[Happiness_Index(1-10)]]&lt;=4,"Low",IF(Table1[[#This Row],[Happiness_Index(1-10)]]&lt;=7,"Normal","High"))</f>
        <v>High</v>
      </c>
    </row>
    <row r="24" spans="1:14" x14ac:dyDescent="0.25">
      <c r="A24" t="s">
        <v>41</v>
      </c>
      <c r="B24">
        <v>43</v>
      </c>
      <c r="C24" t="s">
        <v>11</v>
      </c>
      <c r="D24">
        <v>3.6</v>
      </c>
      <c r="E24">
        <v>8</v>
      </c>
      <c r="F24">
        <v>5</v>
      </c>
      <c r="G24">
        <v>3</v>
      </c>
      <c r="H24">
        <v>1</v>
      </c>
      <c r="I24" t="s">
        <v>12</v>
      </c>
      <c r="J24">
        <v>9</v>
      </c>
      <c r="K24" t="str">
        <f t="shared" si="0"/>
        <v>36–45</v>
      </c>
      <c r="L24" t="str">
        <f>IF(Table1[[#This Row],[Daily_Screen_Time(hrs)]]&lt;=3,"Low",IF(Table1[[#This Row],[Daily_Screen_Time(hrs)]]&lt;=6,"Medium","High"))</f>
        <v>Medium</v>
      </c>
      <c r="M24" t="str">
        <f>IF(Table1[[#This Row],[Stress_Level(1-10)]]&lt;=4,"Low",IF(Table1[[#This Row],[Stress_Level(1-10)]]&lt;=7,"Medium","High"))</f>
        <v>Medium</v>
      </c>
      <c r="N24" t="str">
        <f>IF(Table1[[#This Row],[Happiness_Index(1-10)]]&lt;=4,"Low",IF(Table1[[#This Row],[Happiness_Index(1-10)]]&lt;=7,"Normal","High"))</f>
        <v>High</v>
      </c>
    </row>
    <row r="25" spans="1:14" x14ac:dyDescent="0.25">
      <c r="A25" t="s">
        <v>42</v>
      </c>
      <c r="B25">
        <v>31</v>
      </c>
      <c r="C25" t="s">
        <v>19</v>
      </c>
      <c r="D25">
        <v>7.8</v>
      </c>
      <c r="E25">
        <v>5</v>
      </c>
      <c r="F25">
        <v>8</v>
      </c>
      <c r="G25">
        <v>1</v>
      </c>
      <c r="H25">
        <v>2</v>
      </c>
      <c r="I25" t="s">
        <v>20</v>
      </c>
      <c r="J25">
        <v>7</v>
      </c>
      <c r="K25" t="str">
        <f t="shared" si="0"/>
        <v>26–35</v>
      </c>
      <c r="L25" t="str">
        <f>IF(Table1[[#This Row],[Daily_Screen_Time(hrs)]]&lt;=3,"Low",IF(Table1[[#This Row],[Daily_Screen_Time(hrs)]]&lt;=6,"Medium","High"))</f>
        <v>High</v>
      </c>
      <c r="M25" t="str">
        <f>IF(Table1[[#This Row],[Stress_Level(1-10)]]&lt;=4,"Low",IF(Table1[[#This Row],[Stress_Level(1-10)]]&lt;=7,"Medium","High"))</f>
        <v>High</v>
      </c>
      <c r="N25" t="str">
        <f>IF(Table1[[#This Row],[Happiness_Index(1-10)]]&lt;=4,"Low",IF(Table1[[#This Row],[Happiness_Index(1-10)]]&lt;=7,"Normal","High"))</f>
        <v>Normal</v>
      </c>
    </row>
    <row r="26" spans="1:14" x14ac:dyDescent="0.25">
      <c r="A26" t="s">
        <v>43</v>
      </c>
      <c r="B26">
        <v>30</v>
      </c>
      <c r="C26" t="s">
        <v>11</v>
      </c>
      <c r="D26">
        <v>5</v>
      </c>
      <c r="E26">
        <v>6</v>
      </c>
      <c r="F26">
        <v>6</v>
      </c>
      <c r="G26">
        <v>0</v>
      </c>
      <c r="H26">
        <v>5</v>
      </c>
      <c r="I26" t="s">
        <v>22</v>
      </c>
      <c r="J26">
        <v>8</v>
      </c>
      <c r="K26" t="str">
        <f t="shared" si="0"/>
        <v>26–35</v>
      </c>
      <c r="L26" t="str">
        <f>IF(Table1[[#This Row],[Daily_Screen_Time(hrs)]]&lt;=3,"Low",IF(Table1[[#This Row],[Daily_Screen_Time(hrs)]]&lt;=6,"Medium","High"))</f>
        <v>Medium</v>
      </c>
      <c r="M26" t="str">
        <f>IF(Table1[[#This Row],[Stress_Level(1-10)]]&lt;=4,"Low",IF(Table1[[#This Row],[Stress_Level(1-10)]]&lt;=7,"Medium","High"))</f>
        <v>Medium</v>
      </c>
      <c r="N26" t="str">
        <f>IF(Table1[[#This Row],[Happiness_Index(1-10)]]&lt;=4,"Low",IF(Table1[[#This Row],[Happiness_Index(1-10)]]&lt;=7,"Normal","High"))</f>
        <v>High</v>
      </c>
    </row>
    <row r="27" spans="1:14" x14ac:dyDescent="0.25">
      <c r="A27" t="s">
        <v>44</v>
      </c>
      <c r="B27">
        <v>18</v>
      </c>
      <c r="C27" t="s">
        <v>14</v>
      </c>
      <c r="D27">
        <v>5.7</v>
      </c>
      <c r="E27">
        <v>6</v>
      </c>
      <c r="F27">
        <v>7</v>
      </c>
      <c r="G27">
        <v>3</v>
      </c>
      <c r="H27">
        <v>2</v>
      </c>
      <c r="I27" t="s">
        <v>22</v>
      </c>
      <c r="J27">
        <v>8</v>
      </c>
      <c r="K27" t="str">
        <f t="shared" si="0"/>
        <v>15–25</v>
      </c>
      <c r="L27" t="str">
        <f>IF(Table1[[#This Row],[Daily_Screen_Time(hrs)]]&lt;=3,"Low",IF(Table1[[#This Row],[Daily_Screen_Time(hrs)]]&lt;=6,"Medium","High"))</f>
        <v>Medium</v>
      </c>
      <c r="M27" t="str">
        <f>IF(Table1[[#This Row],[Stress_Level(1-10)]]&lt;=4,"Low",IF(Table1[[#This Row],[Stress_Level(1-10)]]&lt;=7,"Medium","High"))</f>
        <v>Medium</v>
      </c>
      <c r="N27" t="str">
        <f>IF(Table1[[#This Row],[Happiness_Index(1-10)]]&lt;=4,"Low",IF(Table1[[#This Row],[Happiness_Index(1-10)]]&lt;=7,"Normal","High"))</f>
        <v>High</v>
      </c>
    </row>
    <row r="28" spans="1:14" x14ac:dyDescent="0.25">
      <c r="A28" t="s">
        <v>45</v>
      </c>
      <c r="B28">
        <v>22</v>
      </c>
      <c r="C28" t="s">
        <v>19</v>
      </c>
      <c r="D28">
        <v>6.2</v>
      </c>
      <c r="E28">
        <v>5</v>
      </c>
      <c r="F28">
        <v>8</v>
      </c>
      <c r="G28">
        <v>5</v>
      </c>
      <c r="H28">
        <v>0</v>
      </c>
      <c r="I28" t="s">
        <v>22</v>
      </c>
      <c r="J28">
        <v>6</v>
      </c>
      <c r="K28" t="str">
        <f t="shared" si="0"/>
        <v>15–25</v>
      </c>
      <c r="L28" t="str">
        <f>IF(Table1[[#This Row],[Daily_Screen_Time(hrs)]]&lt;=3,"Low",IF(Table1[[#This Row],[Daily_Screen_Time(hrs)]]&lt;=6,"Medium","High"))</f>
        <v>High</v>
      </c>
      <c r="M28" t="str">
        <f>IF(Table1[[#This Row],[Stress_Level(1-10)]]&lt;=4,"Low",IF(Table1[[#This Row],[Stress_Level(1-10)]]&lt;=7,"Medium","High"))</f>
        <v>High</v>
      </c>
      <c r="N28" t="str">
        <f>IF(Table1[[#This Row],[Happiness_Index(1-10)]]&lt;=4,"Low",IF(Table1[[#This Row],[Happiness_Index(1-10)]]&lt;=7,"Normal","High"))</f>
        <v>Normal</v>
      </c>
    </row>
    <row r="29" spans="1:14" x14ac:dyDescent="0.25">
      <c r="A29" t="s">
        <v>46</v>
      </c>
      <c r="B29">
        <v>36</v>
      </c>
      <c r="C29" t="s">
        <v>19</v>
      </c>
      <c r="D29">
        <v>2</v>
      </c>
      <c r="E29">
        <v>8</v>
      </c>
      <c r="F29">
        <v>4</v>
      </c>
      <c r="G29">
        <v>5</v>
      </c>
      <c r="H29">
        <v>0</v>
      </c>
      <c r="I29" t="s">
        <v>12</v>
      </c>
      <c r="J29">
        <v>10</v>
      </c>
      <c r="K29" t="str">
        <f t="shared" si="0"/>
        <v>36–45</v>
      </c>
      <c r="L29" t="str">
        <f>IF(Table1[[#This Row],[Daily_Screen_Time(hrs)]]&lt;=3,"Low",IF(Table1[[#This Row],[Daily_Screen_Time(hrs)]]&lt;=6,"Medium","High"))</f>
        <v>Low</v>
      </c>
      <c r="M29" t="str">
        <f>IF(Table1[[#This Row],[Stress_Level(1-10)]]&lt;=4,"Low",IF(Table1[[#This Row],[Stress_Level(1-10)]]&lt;=7,"Medium","High"))</f>
        <v>Low</v>
      </c>
      <c r="N29" t="str">
        <f>IF(Table1[[#This Row],[Happiness_Index(1-10)]]&lt;=4,"Low",IF(Table1[[#This Row],[Happiness_Index(1-10)]]&lt;=7,"Normal","High"))</f>
        <v>High</v>
      </c>
    </row>
    <row r="30" spans="1:14" x14ac:dyDescent="0.25">
      <c r="A30" t="s">
        <v>47</v>
      </c>
      <c r="B30">
        <v>24</v>
      </c>
      <c r="C30" t="s">
        <v>11</v>
      </c>
      <c r="D30">
        <v>4.3</v>
      </c>
      <c r="E30">
        <v>6</v>
      </c>
      <c r="F30">
        <v>6</v>
      </c>
      <c r="G30">
        <v>5</v>
      </c>
      <c r="H30">
        <v>2</v>
      </c>
      <c r="I30" t="s">
        <v>22</v>
      </c>
      <c r="J30">
        <v>10</v>
      </c>
      <c r="K30" t="str">
        <f t="shared" si="0"/>
        <v>15–25</v>
      </c>
      <c r="L30" t="str">
        <f>IF(Table1[[#This Row],[Daily_Screen_Time(hrs)]]&lt;=3,"Low",IF(Table1[[#This Row],[Daily_Screen_Time(hrs)]]&lt;=6,"Medium","High"))</f>
        <v>Medium</v>
      </c>
      <c r="M30" t="str">
        <f>IF(Table1[[#This Row],[Stress_Level(1-10)]]&lt;=4,"Low",IF(Table1[[#This Row],[Stress_Level(1-10)]]&lt;=7,"Medium","High"))</f>
        <v>Medium</v>
      </c>
      <c r="N30" t="str">
        <f>IF(Table1[[#This Row],[Happiness_Index(1-10)]]&lt;=4,"Low",IF(Table1[[#This Row],[Happiness_Index(1-10)]]&lt;=7,"Normal","High"))</f>
        <v>High</v>
      </c>
    </row>
    <row r="31" spans="1:14" x14ac:dyDescent="0.25">
      <c r="A31" t="s">
        <v>48</v>
      </c>
      <c r="B31">
        <v>33</v>
      </c>
      <c r="C31" t="s">
        <v>11</v>
      </c>
      <c r="D31">
        <v>7.4</v>
      </c>
      <c r="E31">
        <v>6</v>
      </c>
      <c r="F31">
        <v>10</v>
      </c>
      <c r="G31">
        <v>3</v>
      </c>
      <c r="H31">
        <v>4</v>
      </c>
      <c r="I31" t="s">
        <v>26</v>
      </c>
      <c r="J31">
        <v>8</v>
      </c>
      <c r="K31" t="str">
        <f t="shared" si="0"/>
        <v>26–35</v>
      </c>
      <c r="L31" t="str">
        <f>IF(Table1[[#This Row],[Daily_Screen_Time(hrs)]]&lt;=3,"Low",IF(Table1[[#This Row],[Daily_Screen_Time(hrs)]]&lt;=6,"Medium","High"))</f>
        <v>High</v>
      </c>
      <c r="M31" t="str">
        <f>IF(Table1[[#This Row],[Stress_Level(1-10)]]&lt;=4,"Low",IF(Table1[[#This Row],[Stress_Level(1-10)]]&lt;=7,"Medium","High"))</f>
        <v>High</v>
      </c>
      <c r="N31" t="str">
        <f>IF(Table1[[#This Row],[Happiness_Index(1-10)]]&lt;=4,"Low",IF(Table1[[#This Row],[Happiness_Index(1-10)]]&lt;=7,"Normal","High"))</f>
        <v>High</v>
      </c>
    </row>
    <row r="32" spans="1:14" x14ac:dyDescent="0.25">
      <c r="A32" t="s">
        <v>49</v>
      </c>
      <c r="B32">
        <v>19</v>
      </c>
      <c r="C32" t="s">
        <v>11</v>
      </c>
      <c r="D32">
        <v>7.1</v>
      </c>
      <c r="E32">
        <v>5</v>
      </c>
      <c r="F32">
        <v>8</v>
      </c>
      <c r="G32">
        <v>5</v>
      </c>
      <c r="H32">
        <v>2</v>
      </c>
      <c r="I32" t="s">
        <v>22</v>
      </c>
      <c r="J32">
        <v>9</v>
      </c>
      <c r="K32" t="str">
        <f t="shared" si="0"/>
        <v>15–25</v>
      </c>
      <c r="L32" t="str">
        <f>IF(Table1[[#This Row],[Daily_Screen_Time(hrs)]]&lt;=3,"Low",IF(Table1[[#This Row],[Daily_Screen_Time(hrs)]]&lt;=6,"Medium","High"))</f>
        <v>High</v>
      </c>
      <c r="M32" t="str">
        <f>IF(Table1[[#This Row],[Stress_Level(1-10)]]&lt;=4,"Low",IF(Table1[[#This Row],[Stress_Level(1-10)]]&lt;=7,"Medium","High"))</f>
        <v>High</v>
      </c>
      <c r="N32" t="str">
        <f>IF(Table1[[#This Row],[Happiness_Index(1-10)]]&lt;=4,"Low",IF(Table1[[#This Row],[Happiness_Index(1-10)]]&lt;=7,"Normal","High"))</f>
        <v>High</v>
      </c>
    </row>
    <row r="33" spans="1:14" x14ac:dyDescent="0.25">
      <c r="A33" t="s">
        <v>50</v>
      </c>
      <c r="B33">
        <v>40</v>
      </c>
      <c r="C33" t="s">
        <v>11</v>
      </c>
      <c r="D33">
        <v>6</v>
      </c>
      <c r="E33">
        <v>6</v>
      </c>
      <c r="F33">
        <v>7</v>
      </c>
      <c r="G33">
        <v>5</v>
      </c>
      <c r="H33">
        <v>4</v>
      </c>
      <c r="I33" t="s">
        <v>20</v>
      </c>
      <c r="J33">
        <v>7</v>
      </c>
      <c r="K33" t="str">
        <f t="shared" si="0"/>
        <v>36–45</v>
      </c>
      <c r="L33" t="str">
        <f>IF(Table1[[#This Row],[Daily_Screen_Time(hrs)]]&lt;=3,"Low",IF(Table1[[#This Row],[Daily_Screen_Time(hrs)]]&lt;=6,"Medium","High"))</f>
        <v>Medium</v>
      </c>
      <c r="M33" t="str">
        <f>IF(Table1[[#This Row],[Stress_Level(1-10)]]&lt;=4,"Low",IF(Table1[[#This Row],[Stress_Level(1-10)]]&lt;=7,"Medium","High"))</f>
        <v>Medium</v>
      </c>
      <c r="N33" t="str">
        <f>IF(Table1[[#This Row],[Happiness_Index(1-10)]]&lt;=4,"Low",IF(Table1[[#This Row],[Happiness_Index(1-10)]]&lt;=7,"Normal","High"))</f>
        <v>Normal</v>
      </c>
    </row>
    <row r="34" spans="1:14" x14ac:dyDescent="0.25">
      <c r="A34" t="s">
        <v>51</v>
      </c>
      <c r="B34">
        <v>29</v>
      </c>
      <c r="C34" t="s">
        <v>19</v>
      </c>
      <c r="D34">
        <v>3.1</v>
      </c>
      <c r="E34">
        <v>8</v>
      </c>
      <c r="F34">
        <v>4</v>
      </c>
      <c r="G34">
        <v>2</v>
      </c>
      <c r="H34">
        <v>2</v>
      </c>
      <c r="I34" t="s">
        <v>15</v>
      </c>
      <c r="J34">
        <v>10</v>
      </c>
      <c r="K34" t="str">
        <f t="shared" si="0"/>
        <v>26–35</v>
      </c>
      <c r="L34" t="str">
        <f>IF(Table1[[#This Row],[Daily_Screen_Time(hrs)]]&lt;=3,"Low",IF(Table1[[#This Row],[Daily_Screen_Time(hrs)]]&lt;=6,"Medium","High"))</f>
        <v>Medium</v>
      </c>
      <c r="M34" t="str">
        <f>IF(Table1[[#This Row],[Stress_Level(1-10)]]&lt;=4,"Low",IF(Table1[[#This Row],[Stress_Level(1-10)]]&lt;=7,"Medium","High"))</f>
        <v>Low</v>
      </c>
      <c r="N34" t="str">
        <f>IF(Table1[[#This Row],[Happiness_Index(1-10)]]&lt;=4,"Low",IF(Table1[[#This Row],[Happiness_Index(1-10)]]&lt;=7,"Normal","High"))</f>
        <v>High</v>
      </c>
    </row>
    <row r="35" spans="1:14" x14ac:dyDescent="0.25">
      <c r="A35" t="s">
        <v>52</v>
      </c>
      <c r="B35">
        <v>24</v>
      </c>
      <c r="C35" t="s">
        <v>19</v>
      </c>
      <c r="D35">
        <v>6.6</v>
      </c>
      <c r="E35">
        <v>6</v>
      </c>
      <c r="F35">
        <v>7</v>
      </c>
      <c r="G35">
        <v>4</v>
      </c>
      <c r="H35">
        <v>0</v>
      </c>
      <c r="I35" t="s">
        <v>20</v>
      </c>
      <c r="J35">
        <v>7</v>
      </c>
      <c r="K35" t="str">
        <f t="shared" si="0"/>
        <v>15–25</v>
      </c>
      <c r="L35" t="str">
        <f>IF(Table1[[#This Row],[Daily_Screen_Time(hrs)]]&lt;=3,"Low",IF(Table1[[#This Row],[Daily_Screen_Time(hrs)]]&lt;=6,"Medium","High"))</f>
        <v>High</v>
      </c>
      <c r="M35" t="str">
        <f>IF(Table1[[#This Row],[Stress_Level(1-10)]]&lt;=4,"Low",IF(Table1[[#This Row],[Stress_Level(1-10)]]&lt;=7,"Medium","High"))</f>
        <v>Medium</v>
      </c>
      <c r="N35" t="str">
        <f>IF(Table1[[#This Row],[Happiness_Index(1-10)]]&lt;=4,"Low",IF(Table1[[#This Row],[Happiness_Index(1-10)]]&lt;=7,"Normal","High"))</f>
        <v>Normal</v>
      </c>
    </row>
    <row r="36" spans="1:14" x14ac:dyDescent="0.25">
      <c r="A36" t="s">
        <v>53</v>
      </c>
      <c r="B36">
        <v>41</v>
      </c>
      <c r="C36" t="s">
        <v>14</v>
      </c>
      <c r="D36">
        <v>6.8</v>
      </c>
      <c r="E36">
        <v>8</v>
      </c>
      <c r="F36">
        <v>7</v>
      </c>
      <c r="G36">
        <v>2</v>
      </c>
      <c r="H36">
        <v>2</v>
      </c>
      <c r="I36" t="s">
        <v>15</v>
      </c>
      <c r="J36">
        <v>9</v>
      </c>
      <c r="K36" t="str">
        <f t="shared" si="0"/>
        <v>36–45</v>
      </c>
      <c r="L36" t="str">
        <f>IF(Table1[[#This Row],[Daily_Screen_Time(hrs)]]&lt;=3,"Low",IF(Table1[[#This Row],[Daily_Screen_Time(hrs)]]&lt;=6,"Medium","High"))</f>
        <v>High</v>
      </c>
      <c r="M36" t="str">
        <f>IF(Table1[[#This Row],[Stress_Level(1-10)]]&lt;=4,"Low",IF(Table1[[#This Row],[Stress_Level(1-10)]]&lt;=7,"Medium","High"))</f>
        <v>Medium</v>
      </c>
      <c r="N36" t="str">
        <f>IF(Table1[[#This Row],[Happiness_Index(1-10)]]&lt;=4,"Low",IF(Table1[[#This Row],[Happiness_Index(1-10)]]&lt;=7,"Normal","High"))</f>
        <v>High</v>
      </c>
    </row>
    <row r="37" spans="1:14" x14ac:dyDescent="0.25">
      <c r="A37" t="s">
        <v>54</v>
      </c>
      <c r="B37">
        <v>17</v>
      </c>
      <c r="C37" t="s">
        <v>14</v>
      </c>
      <c r="D37">
        <v>5.6</v>
      </c>
      <c r="E37">
        <v>6</v>
      </c>
      <c r="F37">
        <v>7</v>
      </c>
      <c r="G37">
        <v>4</v>
      </c>
      <c r="H37">
        <v>3</v>
      </c>
      <c r="I37" t="s">
        <v>20</v>
      </c>
      <c r="J37">
        <v>7</v>
      </c>
      <c r="K37" t="str">
        <f t="shared" si="0"/>
        <v>15–25</v>
      </c>
      <c r="L37" t="str">
        <f>IF(Table1[[#This Row],[Daily_Screen_Time(hrs)]]&lt;=3,"Low",IF(Table1[[#This Row],[Daily_Screen_Time(hrs)]]&lt;=6,"Medium","High"))</f>
        <v>Medium</v>
      </c>
      <c r="M37" t="str">
        <f>IF(Table1[[#This Row],[Stress_Level(1-10)]]&lt;=4,"Low",IF(Table1[[#This Row],[Stress_Level(1-10)]]&lt;=7,"Medium","High"))</f>
        <v>Medium</v>
      </c>
      <c r="N37" t="str">
        <f>IF(Table1[[#This Row],[Happiness_Index(1-10)]]&lt;=4,"Low",IF(Table1[[#This Row],[Happiness_Index(1-10)]]&lt;=7,"Normal","High"))</f>
        <v>Normal</v>
      </c>
    </row>
    <row r="38" spans="1:14" x14ac:dyDescent="0.25">
      <c r="A38" t="s">
        <v>55</v>
      </c>
      <c r="B38">
        <v>35</v>
      </c>
      <c r="C38" t="s">
        <v>19</v>
      </c>
      <c r="D38">
        <v>7.7</v>
      </c>
      <c r="E38">
        <v>4</v>
      </c>
      <c r="F38">
        <v>8</v>
      </c>
      <c r="G38">
        <v>0</v>
      </c>
      <c r="H38">
        <v>3</v>
      </c>
      <c r="I38" t="s">
        <v>12</v>
      </c>
      <c r="J38">
        <v>8</v>
      </c>
      <c r="K38" t="str">
        <f t="shared" si="0"/>
        <v>26–35</v>
      </c>
      <c r="L38" t="str">
        <f>IF(Table1[[#This Row],[Daily_Screen_Time(hrs)]]&lt;=3,"Low",IF(Table1[[#This Row],[Daily_Screen_Time(hrs)]]&lt;=6,"Medium","High"))</f>
        <v>High</v>
      </c>
      <c r="M38" t="str">
        <f>IF(Table1[[#This Row],[Stress_Level(1-10)]]&lt;=4,"Low",IF(Table1[[#This Row],[Stress_Level(1-10)]]&lt;=7,"Medium","High"))</f>
        <v>High</v>
      </c>
      <c r="N38" t="str">
        <f>IF(Table1[[#This Row],[Happiness_Index(1-10)]]&lt;=4,"Low",IF(Table1[[#This Row],[Happiness_Index(1-10)]]&lt;=7,"Normal","High"))</f>
        <v>High</v>
      </c>
    </row>
    <row r="39" spans="1:14" x14ac:dyDescent="0.25">
      <c r="A39" t="s">
        <v>56</v>
      </c>
      <c r="B39">
        <v>43</v>
      </c>
      <c r="C39" t="s">
        <v>19</v>
      </c>
      <c r="D39">
        <v>4.3</v>
      </c>
      <c r="E39">
        <v>8</v>
      </c>
      <c r="F39">
        <v>4</v>
      </c>
      <c r="G39">
        <v>1</v>
      </c>
      <c r="H39">
        <v>1</v>
      </c>
      <c r="I39" t="s">
        <v>20</v>
      </c>
      <c r="J39">
        <v>10</v>
      </c>
      <c r="K39" t="str">
        <f t="shared" si="0"/>
        <v>36–45</v>
      </c>
      <c r="L39" t="str">
        <f>IF(Table1[[#This Row],[Daily_Screen_Time(hrs)]]&lt;=3,"Low",IF(Table1[[#This Row],[Daily_Screen_Time(hrs)]]&lt;=6,"Medium","High"))</f>
        <v>Medium</v>
      </c>
      <c r="M39" t="str">
        <f>IF(Table1[[#This Row],[Stress_Level(1-10)]]&lt;=4,"Low",IF(Table1[[#This Row],[Stress_Level(1-10)]]&lt;=7,"Medium","High"))</f>
        <v>Low</v>
      </c>
      <c r="N39" t="str">
        <f>IF(Table1[[#This Row],[Happiness_Index(1-10)]]&lt;=4,"Low",IF(Table1[[#This Row],[Happiness_Index(1-10)]]&lt;=7,"Normal","High"))</f>
        <v>High</v>
      </c>
    </row>
    <row r="40" spans="1:14" x14ac:dyDescent="0.25">
      <c r="A40" t="s">
        <v>57</v>
      </c>
      <c r="B40">
        <v>22</v>
      </c>
      <c r="C40" t="s">
        <v>14</v>
      </c>
      <c r="D40">
        <v>4.5999999999999996</v>
      </c>
      <c r="E40">
        <v>4</v>
      </c>
      <c r="F40">
        <v>6</v>
      </c>
      <c r="G40">
        <v>5</v>
      </c>
      <c r="H40">
        <v>2</v>
      </c>
      <c r="I40" t="s">
        <v>12</v>
      </c>
      <c r="J40">
        <v>9</v>
      </c>
      <c r="K40" t="str">
        <f t="shared" si="0"/>
        <v>15–25</v>
      </c>
      <c r="L40" t="str">
        <f>IF(Table1[[#This Row],[Daily_Screen_Time(hrs)]]&lt;=3,"Low",IF(Table1[[#This Row],[Daily_Screen_Time(hrs)]]&lt;=6,"Medium","High"))</f>
        <v>Medium</v>
      </c>
      <c r="M40" t="str">
        <f>IF(Table1[[#This Row],[Stress_Level(1-10)]]&lt;=4,"Low",IF(Table1[[#This Row],[Stress_Level(1-10)]]&lt;=7,"Medium","High"))</f>
        <v>Medium</v>
      </c>
      <c r="N40" t="str">
        <f>IF(Table1[[#This Row],[Happiness_Index(1-10)]]&lt;=4,"Low",IF(Table1[[#This Row],[Happiness_Index(1-10)]]&lt;=7,"Normal","High"))</f>
        <v>High</v>
      </c>
    </row>
    <row r="41" spans="1:14" x14ac:dyDescent="0.25">
      <c r="A41" t="s">
        <v>58</v>
      </c>
      <c r="B41">
        <v>23</v>
      </c>
      <c r="C41" t="s">
        <v>19</v>
      </c>
      <c r="D41">
        <v>1</v>
      </c>
      <c r="E41">
        <v>9</v>
      </c>
      <c r="F41">
        <v>5</v>
      </c>
      <c r="G41">
        <v>5</v>
      </c>
      <c r="H41">
        <v>7</v>
      </c>
      <c r="I41" t="s">
        <v>12</v>
      </c>
      <c r="J41">
        <v>10</v>
      </c>
      <c r="K41" t="str">
        <f t="shared" si="0"/>
        <v>15–25</v>
      </c>
      <c r="L41" t="str">
        <f>IF(Table1[[#This Row],[Daily_Screen_Time(hrs)]]&lt;=3,"Low",IF(Table1[[#This Row],[Daily_Screen_Time(hrs)]]&lt;=6,"Medium","High"))</f>
        <v>Low</v>
      </c>
      <c r="M41" t="str">
        <f>IF(Table1[[#This Row],[Stress_Level(1-10)]]&lt;=4,"Low",IF(Table1[[#This Row],[Stress_Level(1-10)]]&lt;=7,"Medium","High"))</f>
        <v>Medium</v>
      </c>
      <c r="N41" t="str">
        <f>IF(Table1[[#This Row],[Happiness_Index(1-10)]]&lt;=4,"Low",IF(Table1[[#This Row],[Happiness_Index(1-10)]]&lt;=7,"Normal","High"))</f>
        <v>High</v>
      </c>
    </row>
    <row r="42" spans="1:14" x14ac:dyDescent="0.25">
      <c r="A42" t="s">
        <v>59</v>
      </c>
      <c r="B42">
        <v>29</v>
      </c>
      <c r="C42" t="s">
        <v>11</v>
      </c>
      <c r="D42">
        <v>7.2</v>
      </c>
      <c r="E42">
        <v>5</v>
      </c>
      <c r="F42">
        <v>7</v>
      </c>
      <c r="G42">
        <v>4</v>
      </c>
      <c r="H42">
        <v>1</v>
      </c>
      <c r="I42" t="s">
        <v>22</v>
      </c>
      <c r="J42">
        <v>10</v>
      </c>
      <c r="K42" t="str">
        <f t="shared" si="0"/>
        <v>26–35</v>
      </c>
      <c r="L42" t="str">
        <f>IF(Table1[[#This Row],[Daily_Screen_Time(hrs)]]&lt;=3,"Low",IF(Table1[[#This Row],[Daily_Screen_Time(hrs)]]&lt;=6,"Medium","High"))</f>
        <v>High</v>
      </c>
      <c r="M42" t="str">
        <f>IF(Table1[[#This Row],[Stress_Level(1-10)]]&lt;=4,"Low",IF(Table1[[#This Row],[Stress_Level(1-10)]]&lt;=7,"Medium","High"))</f>
        <v>Medium</v>
      </c>
      <c r="N42" t="str">
        <f>IF(Table1[[#This Row],[Happiness_Index(1-10)]]&lt;=4,"Low",IF(Table1[[#This Row],[Happiness_Index(1-10)]]&lt;=7,"Normal","High"))</f>
        <v>High</v>
      </c>
    </row>
    <row r="43" spans="1:14" x14ac:dyDescent="0.25">
      <c r="A43" t="s">
        <v>60</v>
      </c>
      <c r="B43">
        <v>32</v>
      </c>
      <c r="C43" t="s">
        <v>11</v>
      </c>
      <c r="D43">
        <v>6.1</v>
      </c>
      <c r="E43">
        <v>5</v>
      </c>
      <c r="F43">
        <v>6</v>
      </c>
      <c r="G43">
        <v>3</v>
      </c>
      <c r="H43">
        <v>3</v>
      </c>
      <c r="I43" t="s">
        <v>26</v>
      </c>
      <c r="J43">
        <v>7</v>
      </c>
      <c r="K43" t="str">
        <f t="shared" si="0"/>
        <v>26–35</v>
      </c>
      <c r="L43" t="str">
        <f>IF(Table1[[#This Row],[Daily_Screen_Time(hrs)]]&lt;=3,"Low",IF(Table1[[#This Row],[Daily_Screen_Time(hrs)]]&lt;=6,"Medium","High"))</f>
        <v>High</v>
      </c>
      <c r="M43" t="str">
        <f>IF(Table1[[#This Row],[Stress_Level(1-10)]]&lt;=4,"Low",IF(Table1[[#This Row],[Stress_Level(1-10)]]&lt;=7,"Medium","High"))</f>
        <v>Medium</v>
      </c>
      <c r="N43" t="str">
        <f>IF(Table1[[#This Row],[Happiness_Index(1-10)]]&lt;=4,"Low",IF(Table1[[#This Row],[Happiness_Index(1-10)]]&lt;=7,"Normal","High"))</f>
        <v>Normal</v>
      </c>
    </row>
    <row r="44" spans="1:14" x14ac:dyDescent="0.25">
      <c r="A44" t="s">
        <v>61</v>
      </c>
      <c r="B44">
        <v>19</v>
      </c>
      <c r="C44" t="s">
        <v>11</v>
      </c>
      <c r="D44">
        <v>2.5</v>
      </c>
      <c r="E44">
        <v>9</v>
      </c>
      <c r="F44">
        <v>3</v>
      </c>
      <c r="G44">
        <v>0</v>
      </c>
      <c r="H44">
        <v>0</v>
      </c>
      <c r="I44" t="s">
        <v>15</v>
      </c>
      <c r="J44">
        <v>10</v>
      </c>
      <c r="K44" t="str">
        <f t="shared" si="0"/>
        <v>15–25</v>
      </c>
      <c r="L44" t="str">
        <f>IF(Table1[[#This Row],[Daily_Screen_Time(hrs)]]&lt;=3,"Low",IF(Table1[[#This Row],[Daily_Screen_Time(hrs)]]&lt;=6,"Medium","High"))</f>
        <v>Low</v>
      </c>
      <c r="M44" t="str">
        <f>IF(Table1[[#This Row],[Stress_Level(1-10)]]&lt;=4,"Low",IF(Table1[[#This Row],[Stress_Level(1-10)]]&lt;=7,"Medium","High"))</f>
        <v>Low</v>
      </c>
      <c r="N44" t="str">
        <f>IF(Table1[[#This Row],[Happiness_Index(1-10)]]&lt;=4,"Low",IF(Table1[[#This Row],[Happiness_Index(1-10)]]&lt;=7,"Normal","High"))</f>
        <v>High</v>
      </c>
    </row>
    <row r="45" spans="1:14" x14ac:dyDescent="0.25">
      <c r="A45" t="s">
        <v>62</v>
      </c>
      <c r="B45">
        <v>17</v>
      </c>
      <c r="C45" t="s">
        <v>14</v>
      </c>
      <c r="D45">
        <v>2.2999999999999998</v>
      </c>
      <c r="E45">
        <v>9</v>
      </c>
      <c r="F45">
        <v>3</v>
      </c>
      <c r="G45">
        <v>3</v>
      </c>
      <c r="H45">
        <v>4</v>
      </c>
      <c r="I45" t="s">
        <v>22</v>
      </c>
      <c r="J45">
        <v>10</v>
      </c>
      <c r="K45" t="str">
        <f t="shared" si="0"/>
        <v>15–25</v>
      </c>
      <c r="L45" t="str">
        <f>IF(Table1[[#This Row],[Daily_Screen_Time(hrs)]]&lt;=3,"Low",IF(Table1[[#This Row],[Daily_Screen_Time(hrs)]]&lt;=6,"Medium","High"))</f>
        <v>Low</v>
      </c>
      <c r="M45" t="str">
        <f>IF(Table1[[#This Row],[Stress_Level(1-10)]]&lt;=4,"Low",IF(Table1[[#This Row],[Stress_Level(1-10)]]&lt;=7,"Medium","High"))</f>
        <v>Low</v>
      </c>
      <c r="N45" t="str">
        <f>IF(Table1[[#This Row],[Happiness_Index(1-10)]]&lt;=4,"Low",IF(Table1[[#This Row],[Happiness_Index(1-10)]]&lt;=7,"Normal","High"))</f>
        <v>High</v>
      </c>
    </row>
    <row r="46" spans="1:14" x14ac:dyDescent="0.25">
      <c r="A46" t="s">
        <v>63</v>
      </c>
      <c r="B46">
        <v>21</v>
      </c>
      <c r="C46" t="s">
        <v>19</v>
      </c>
      <c r="D46">
        <v>3.9</v>
      </c>
      <c r="E46">
        <v>6</v>
      </c>
      <c r="F46">
        <v>6</v>
      </c>
      <c r="G46">
        <v>4</v>
      </c>
      <c r="H46">
        <v>1</v>
      </c>
      <c r="I46" t="s">
        <v>22</v>
      </c>
      <c r="J46">
        <v>8</v>
      </c>
      <c r="K46" t="str">
        <f t="shared" si="0"/>
        <v>15–25</v>
      </c>
      <c r="L46" t="str">
        <f>IF(Table1[[#This Row],[Daily_Screen_Time(hrs)]]&lt;=3,"Low",IF(Table1[[#This Row],[Daily_Screen_Time(hrs)]]&lt;=6,"Medium","High"))</f>
        <v>Medium</v>
      </c>
      <c r="M46" t="str">
        <f>IF(Table1[[#This Row],[Stress_Level(1-10)]]&lt;=4,"Low",IF(Table1[[#This Row],[Stress_Level(1-10)]]&lt;=7,"Medium","High"))</f>
        <v>Medium</v>
      </c>
      <c r="N46" t="str">
        <f>IF(Table1[[#This Row],[Happiness_Index(1-10)]]&lt;=4,"Low",IF(Table1[[#This Row],[Happiness_Index(1-10)]]&lt;=7,"Normal","High"))</f>
        <v>High</v>
      </c>
    </row>
    <row r="47" spans="1:14" x14ac:dyDescent="0.25">
      <c r="A47" t="s">
        <v>64</v>
      </c>
      <c r="B47">
        <v>19</v>
      </c>
      <c r="C47" t="s">
        <v>11</v>
      </c>
      <c r="D47">
        <v>6.9</v>
      </c>
      <c r="E47">
        <v>5</v>
      </c>
      <c r="F47">
        <v>7</v>
      </c>
      <c r="G47">
        <v>2</v>
      </c>
      <c r="H47">
        <v>3</v>
      </c>
      <c r="I47" t="s">
        <v>12</v>
      </c>
      <c r="J47">
        <v>9</v>
      </c>
      <c r="K47" t="str">
        <f t="shared" si="0"/>
        <v>15–25</v>
      </c>
      <c r="L47" t="str">
        <f>IF(Table1[[#This Row],[Daily_Screen_Time(hrs)]]&lt;=3,"Low",IF(Table1[[#This Row],[Daily_Screen_Time(hrs)]]&lt;=6,"Medium","High"))</f>
        <v>High</v>
      </c>
      <c r="M47" t="str">
        <f>IF(Table1[[#This Row],[Stress_Level(1-10)]]&lt;=4,"Low",IF(Table1[[#This Row],[Stress_Level(1-10)]]&lt;=7,"Medium","High"))</f>
        <v>Medium</v>
      </c>
      <c r="N47" t="str">
        <f>IF(Table1[[#This Row],[Happiness_Index(1-10)]]&lt;=4,"Low",IF(Table1[[#This Row],[Happiness_Index(1-10)]]&lt;=7,"Normal","High"))</f>
        <v>High</v>
      </c>
    </row>
    <row r="48" spans="1:14" x14ac:dyDescent="0.25">
      <c r="A48" t="s">
        <v>65</v>
      </c>
      <c r="B48">
        <v>44</v>
      </c>
      <c r="C48" t="s">
        <v>19</v>
      </c>
      <c r="D48">
        <v>5</v>
      </c>
      <c r="E48">
        <v>4</v>
      </c>
      <c r="F48">
        <v>7</v>
      </c>
      <c r="G48">
        <v>2</v>
      </c>
      <c r="H48">
        <v>1</v>
      </c>
      <c r="I48" t="s">
        <v>12</v>
      </c>
      <c r="J48">
        <v>8</v>
      </c>
      <c r="K48" t="str">
        <f t="shared" si="0"/>
        <v>36–45</v>
      </c>
      <c r="L48" t="str">
        <f>IF(Table1[[#This Row],[Daily_Screen_Time(hrs)]]&lt;=3,"Low",IF(Table1[[#This Row],[Daily_Screen_Time(hrs)]]&lt;=6,"Medium","High"))</f>
        <v>Medium</v>
      </c>
      <c r="M48" t="str">
        <f>IF(Table1[[#This Row],[Stress_Level(1-10)]]&lt;=4,"Low",IF(Table1[[#This Row],[Stress_Level(1-10)]]&lt;=7,"Medium","High"))</f>
        <v>Medium</v>
      </c>
      <c r="N48" t="str">
        <f>IF(Table1[[#This Row],[Happiness_Index(1-10)]]&lt;=4,"Low",IF(Table1[[#This Row],[Happiness_Index(1-10)]]&lt;=7,"Normal","High"))</f>
        <v>High</v>
      </c>
    </row>
    <row r="49" spans="1:14" x14ac:dyDescent="0.25">
      <c r="A49" t="s">
        <v>66</v>
      </c>
      <c r="B49">
        <v>33</v>
      </c>
      <c r="C49" t="s">
        <v>19</v>
      </c>
      <c r="D49">
        <v>4.0999999999999996</v>
      </c>
      <c r="E49">
        <v>8</v>
      </c>
      <c r="F49">
        <v>7</v>
      </c>
      <c r="G49">
        <v>6</v>
      </c>
      <c r="H49">
        <v>3</v>
      </c>
      <c r="I49" t="s">
        <v>15</v>
      </c>
      <c r="J49">
        <v>9</v>
      </c>
      <c r="K49" t="str">
        <f t="shared" si="0"/>
        <v>26–35</v>
      </c>
      <c r="L49" t="str">
        <f>IF(Table1[[#This Row],[Daily_Screen_Time(hrs)]]&lt;=3,"Low",IF(Table1[[#This Row],[Daily_Screen_Time(hrs)]]&lt;=6,"Medium","High"))</f>
        <v>Medium</v>
      </c>
      <c r="M49" t="str">
        <f>IF(Table1[[#This Row],[Stress_Level(1-10)]]&lt;=4,"Low",IF(Table1[[#This Row],[Stress_Level(1-10)]]&lt;=7,"Medium","High"))</f>
        <v>Medium</v>
      </c>
      <c r="N49" t="str">
        <f>IF(Table1[[#This Row],[Happiness_Index(1-10)]]&lt;=4,"Low",IF(Table1[[#This Row],[Happiness_Index(1-10)]]&lt;=7,"Normal","High"))</f>
        <v>High</v>
      </c>
    </row>
    <row r="50" spans="1:14" x14ac:dyDescent="0.25">
      <c r="A50" t="s">
        <v>67</v>
      </c>
      <c r="B50">
        <v>41</v>
      </c>
      <c r="C50" t="s">
        <v>11</v>
      </c>
      <c r="D50">
        <v>3.7</v>
      </c>
      <c r="E50">
        <v>8</v>
      </c>
      <c r="F50">
        <v>6</v>
      </c>
      <c r="G50">
        <v>3</v>
      </c>
      <c r="H50">
        <v>1</v>
      </c>
      <c r="I50" t="s">
        <v>20</v>
      </c>
      <c r="J50">
        <v>9</v>
      </c>
      <c r="K50" t="str">
        <f t="shared" si="0"/>
        <v>36–45</v>
      </c>
      <c r="L50" t="str">
        <f>IF(Table1[[#This Row],[Daily_Screen_Time(hrs)]]&lt;=3,"Low",IF(Table1[[#This Row],[Daily_Screen_Time(hrs)]]&lt;=6,"Medium","High"))</f>
        <v>Medium</v>
      </c>
      <c r="M50" t="str">
        <f>IF(Table1[[#This Row],[Stress_Level(1-10)]]&lt;=4,"Low",IF(Table1[[#This Row],[Stress_Level(1-10)]]&lt;=7,"Medium","High"))</f>
        <v>Medium</v>
      </c>
      <c r="N50" t="str">
        <f>IF(Table1[[#This Row],[Happiness_Index(1-10)]]&lt;=4,"Low",IF(Table1[[#This Row],[Happiness_Index(1-10)]]&lt;=7,"Normal","High"))</f>
        <v>High</v>
      </c>
    </row>
    <row r="51" spans="1:14" x14ac:dyDescent="0.25">
      <c r="A51" t="s">
        <v>68</v>
      </c>
      <c r="B51">
        <v>49</v>
      </c>
      <c r="C51" t="s">
        <v>11</v>
      </c>
      <c r="D51">
        <v>3.6</v>
      </c>
      <c r="E51">
        <v>7</v>
      </c>
      <c r="F51">
        <v>5</v>
      </c>
      <c r="G51">
        <v>4</v>
      </c>
      <c r="H51">
        <v>1</v>
      </c>
      <c r="I51" t="s">
        <v>20</v>
      </c>
      <c r="J51">
        <v>9</v>
      </c>
      <c r="K51" t="str">
        <f t="shared" si="0"/>
        <v>46+</v>
      </c>
      <c r="L51" t="str">
        <f>IF(Table1[[#This Row],[Daily_Screen_Time(hrs)]]&lt;=3,"Low",IF(Table1[[#This Row],[Daily_Screen_Time(hrs)]]&lt;=6,"Medium","High"))</f>
        <v>Medium</v>
      </c>
      <c r="M51" t="str">
        <f>IF(Table1[[#This Row],[Stress_Level(1-10)]]&lt;=4,"Low",IF(Table1[[#This Row],[Stress_Level(1-10)]]&lt;=7,"Medium","High"))</f>
        <v>Medium</v>
      </c>
      <c r="N51" t="str">
        <f>IF(Table1[[#This Row],[Happiness_Index(1-10)]]&lt;=4,"Low",IF(Table1[[#This Row],[Happiness_Index(1-10)]]&lt;=7,"Normal","High"))</f>
        <v>High</v>
      </c>
    </row>
    <row r="52" spans="1:14" x14ac:dyDescent="0.25">
      <c r="A52" t="s">
        <v>69</v>
      </c>
      <c r="B52">
        <v>25</v>
      </c>
      <c r="C52" t="s">
        <v>19</v>
      </c>
      <c r="D52">
        <v>2</v>
      </c>
      <c r="E52">
        <v>9</v>
      </c>
      <c r="F52">
        <v>4</v>
      </c>
      <c r="G52">
        <v>5</v>
      </c>
      <c r="H52">
        <v>3</v>
      </c>
      <c r="I52" t="s">
        <v>22</v>
      </c>
      <c r="J52">
        <v>10</v>
      </c>
      <c r="K52" t="str">
        <f t="shared" si="0"/>
        <v>15–25</v>
      </c>
      <c r="L52" t="str">
        <f>IF(Table1[[#This Row],[Daily_Screen_Time(hrs)]]&lt;=3,"Low",IF(Table1[[#This Row],[Daily_Screen_Time(hrs)]]&lt;=6,"Medium","High"))</f>
        <v>Low</v>
      </c>
      <c r="M52" t="str">
        <f>IF(Table1[[#This Row],[Stress_Level(1-10)]]&lt;=4,"Low",IF(Table1[[#This Row],[Stress_Level(1-10)]]&lt;=7,"Medium","High"))</f>
        <v>Low</v>
      </c>
      <c r="N52" t="str">
        <f>IF(Table1[[#This Row],[Happiness_Index(1-10)]]&lt;=4,"Low",IF(Table1[[#This Row],[Happiness_Index(1-10)]]&lt;=7,"Normal","High"))</f>
        <v>High</v>
      </c>
    </row>
    <row r="53" spans="1:14" x14ac:dyDescent="0.25">
      <c r="A53" t="s">
        <v>70</v>
      </c>
      <c r="B53">
        <v>29</v>
      </c>
      <c r="C53" t="s">
        <v>19</v>
      </c>
      <c r="D53">
        <v>3.3</v>
      </c>
      <c r="E53">
        <v>7</v>
      </c>
      <c r="F53">
        <v>5</v>
      </c>
      <c r="G53">
        <v>1</v>
      </c>
      <c r="H53">
        <v>2</v>
      </c>
      <c r="I53" t="s">
        <v>17</v>
      </c>
      <c r="J53">
        <v>10</v>
      </c>
      <c r="K53" t="str">
        <f t="shared" si="0"/>
        <v>26–35</v>
      </c>
      <c r="L53" t="str">
        <f>IF(Table1[[#This Row],[Daily_Screen_Time(hrs)]]&lt;=3,"Low",IF(Table1[[#This Row],[Daily_Screen_Time(hrs)]]&lt;=6,"Medium","High"))</f>
        <v>Medium</v>
      </c>
      <c r="M53" t="str">
        <f>IF(Table1[[#This Row],[Stress_Level(1-10)]]&lt;=4,"Low",IF(Table1[[#This Row],[Stress_Level(1-10)]]&lt;=7,"Medium","High"))</f>
        <v>Medium</v>
      </c>
      <c r="N53" t="str">
        <f>IF(Table1[[#This Row],[Happiness_Index(1-10)]]&lt;=4,"Low",IF(Table1[[#This Row],[Happiness_Index(1-10)]]&lt;=7,"Normal","High"))</f>
        <v>High</v>
      </c>
    </row>
    <row r="54" spans="1:14" x14ac:dyDescent="0.25">
      <c r="A54" t="s">
        <v>71</v>
      </c>
      <c r="B54">
        <v>46</v>
      </c>
      <c r="C54" t="s">
        <v>19</v>
      </c>
      <c r="D54">
        <v>3.6</v>
      </c>
      <c r="E54">
        <v>7</v>
      </c>
      <c r="F54">
        <v>5</v>
      </c>
      <c r="G54">
        <v>3</v>
      </c>
      <c r="H54">
        <v>3</v>
      </c>
      <c r="I54" t="s">
        <v>17</v>
      </c>
      <c r="J54">
        <v>10</v>
      </c>
      <c r="K54" t="str">
        <f t="shared" si="0"/>
        <v>46+</v>
      </c>
      <c r="L54" t="str">
        <f>IF(Table1[[#This Row],[Daily_Screen_Time(hrs)]]&lt;=3,"Low",IF(Table1[[#This Row],[Daily_Screen_Time(hrs)]]&lt;=6,"Medium","High"))</f>
        <v>Medium</v>
      </c>
      <c r="M54" t="str">
        <f>IF(Table1[[#This Row],[Stress_Level(1-10)]]&lt;=4,"Low",IF(Table1[[#This Row],[Stress_Level(1-10)]]&lt;=7,"Medium","High"))</f>
        <v>Medium</v>
      </c>
      <c r="N54" t="str">
        <f>IF(Table1[[#This Row],[Happiness_Index(1-10)]]&lt;=4,"Low",IF(Table1[[#This Row],[Happiness_Index(1-10)]]&lt;=7,"Normal","High"))</f>
        <v>High</v>
      </c>
    </row>
    <row r="55" spans="1:14" x14ac:dyDescent="0.25">
      <c r="A55" t="s">
        <v>72</v>
      </c>
      <c r="B55">
        <v>30</v>
      </c>
      <c r="C55" t="s">
        <v>19</v>
      </c>
      <c r="D55">
        <v>6.7</v>
      </c>
      <c r="E55">
        <v>6</v>
      </c>
      <c r="F55">
        <v>8</v>
      </c>
      <c r="G55">
        <v>6</v>
      </c>
      <c r="H55">
        <v>2</v>
      </c>
      <c r="I55" t="s">
        <v>20</v>
      </c>
      <c r="J55">
        <v>7</v>
      </c>
      <c r="K55" t="str">
        <f t="shared" si="0"/>
        <v>26–35</v>
      </c>
      <c r="L55" t="str">
        <f>IF(Table1[[#This Row],[Daily_Screen_Time(hrs)]]&lt;=3,"Low",IF(Table1[[#This Row],[Daily_Screen_Time(hrs)]]&lt;=6,"Medium","High"))</f>
        <v>High</v>
      </c>
      <c r="M55" t="str">
        <f>IF(Table1[[#This Row],[Stress_Level(1-10)]]&lt;=4,"Low",IF(Table1[[#This Row],[Stress_Level(1-10)]]&lt;=7,"Medium","High"))</f>
        <v>High</v>
      </c>
      <c r="N55" t="str">
        <f>IF(Table1[[#This Row],[Happiness_Index(1-10)]]&lt;=4,"Low",IF(Table1[[#This Row],[Happiness_Index(1-10)]]&lt;=7,"Normal","High"))</f>
        <v>Normal</v>
      </c>
    </row>
    <row r="56" spans="1:14" x14ac:dyDescent="0.25">
      <c r="A56" t="s">
        <v>73</v>
      </c>
      <c r="B56">
        <v>23</v>
      </c>
      <c r="C56" t="s">
        <v>19</v>
      </c>
      <c r="D56">
        <v>5.2</v>
      </c>
      <c r="E56">
        <v>6</v>
      </c>
      <c r="F56">
        <v>6</v>
      </c>
      <c r="G56">
        <v>7</v>
      </c>
      <c r="H56">
        <v>3</v>
      </c>
      <c r="I56" t="s">
        <v>17</v>
      </c>
      <c r="J56">
        <v>8</v>
      </c>
      <c r="K56" t="str">
        <f t="shared" si="0"/>
        <v>15–25</v>
      </c>
      <c r="L56" t="str">
        <f>IF(Table1[[#This Row],[Daily_Screen_Time(hrs)]]&lt;=3,"Low",IF(Table1[[#This Row],[Daily_Screen_Time(hrs)]]&lt;=6,"Medium","High"))</f>
        <v>Medium</v>
      </c>
      <c r="M56" t="str">
        <f>IF(Table1[[#This Row],[Stress_Level(1-10)]]&lt;=4,"Low",IF(Table1[[#This Row],[Stress_Level(1-10)]]&lt;=7,"Medium","High"))</f>
        <v>Medium</v>
      </c>
      <c r="N56" t="str">
        <f>IF(Table1[[#This Row],[Happiness_Index(1-10)]]&lt;=4,"Low",IF(Table1[[#This Row],[Happiness_Index(1-10)]]&lt;=7,"Normal","High"))</f>
        <v>High</v>
      </c>
    </row>
    <row r="57" spans="1:14" x14ac:dyDescent="0.25">
      <c r="A57" t="s">
        <v>74</v>
      </c>
      <c r="B57">
        <v>29</v>
      </c>
      <c r="C57" t="s">
        <v>19</v>
      </c>
      <c r="D57">
        <v>4</v>
      </c>
      <c r="E57">
        <v>7</v>
      </c>
      <c r="F57">
        <v>3</v>
      </c>
      <c r="G57">
        <v>3</v>
      </c>
      <c r="H57">
        <v>3</v>
      </c>
      <c r="I57" t="s">
        <v>20</v>
      </c>
      <c r="J57">
        <v>10</v>
      </c>
      <c r="K57" t="str">
        <f t="shared" si="0"/>
        <v>26–35</v>
      </c>
      <c r="L57" t="str">
        <f>IF(Table1[[#This Row],[Daily_Screen_Time(hrs)]]&lt;=3,"Low",IF(Table1[[#This Row],[Daily_Screen_Time(hrs)]]&lt;=6,"Medium","High"))</f>
        <v>Medium</v>
      </c>
      <c r="M57" t="str">
        <f>IF(Table1[[#This Row],[Stress_Level(1-10)]]&lt;=4,"Low",IF(Table1[[#This Row],[Stress_Level(1-10)]]&lt;=7,"Medium","High"))</f>
        <v>Low</v>
      </c>
      <c r="N57" t="str">
        <f>IF(Table1[[#This Row],[Happiness_Index(1-10)]]&lt;=4,"Low",IF(Table1[[#This Row],[Happiness_Index(1-10)]]&lt;=7,"Normal","High"))</f>
        <v>High</v>
      </c>
    </row>
    <row r="58" spans="1:14" x14ac:dyDescent="0.25">
      <c r="A58" t="s">
        <v>75</v>
      </c>
      <c r="B58">
        <v>38</v>
      </c>
      <c r="C58" t="s">
        <v>19</v>
      </c>
      <c r="D58">
        <v>9.6999999999999993</v>
      </c>
      <c r="E58">
        <v>3</v>
      </c>
      <c r="F58">
        <v>9</v>
      </c>
      <c r="G58">
        <v>3</v>
      </c>
      <c r="H58">
        <v>2</v>
      </c>
      <c r="I58" t="s">
        <v>12</v>
      </c>
      <c r="J58">
        <v>4</v>
      </c>
      <c r="K58" t="str">
        <f t="shared" si="0"/>
        <v>36–45</v>
      </c>
      <c r="L58" t="str">
        <f>IF(Table1[[#This Row],[Daily_Screen_Time(hrs)]]&lt;=3,"Low",IF(Table1[[#This Row],[Daily_Screen_Time(hrs)]]&lt;=6,"Medium","High"))</f>
        <v>High</v>
      </c>
      <c r="M58" t="str">
        <f>IF(Table1[[#This Row],[Stress_Level(1-10)]]&lt;=4,"Low",IF(Table1[[#This Row],[Stress_Level(1-10)]]&lt;=7,"Medium","High"))</f>
        <v>High</v>
      </c>
      <c r="N58" t="str">
        <f>IF(Table1[[#This Row],[Happiness_Index(1-10)]]&lt;=4,"Low",IF(Table1[[#This Row],[Happiness_Index(1-10)]]&lt;=7,"Normal","High"))</f>
        <v>Low</v>
      </c>
    </row>
    <row r="59" spans="1:14" x14ac:dyDescent="0.25">
      <c r="A59" t="s">
        <v>76</v>
      </c>
      <c r="B59">
        <v>36</v>
      </c>
      <c r="C59" t="s">
        <v>19</v>
      </c>
      <c r="D59">
        <v>4.3</v>
      </c>
      <c r="E59">
        <v>7</v>
      </c>
      <c r="F59">
        <v>6</v>
      </c>
      <c r="G59">
        <v>4</v>
      </c>
      <c r="H59">
        <v>1</v>
      </c>
      <c r="I59" t="s">
        <v>22</v>
      </c>
      <c r="J59">
        <v>9</v>
      </c>
      <c r="K59" t="str">
        <f t="shared" si="0"/>
        <v>36–45</v>
      </c>
      <c r="L59" t="str">
        <f>IF(Table1[[#This Row],[Daily_Screen_Time(hrs)]]&lt;=3,"Low",IF(Table1[[#This Row],[Daily_Screen_Time(hrs)]]&lt;=6,"Medium","High"))</f>
        <v>Medium</v>
      </c>
      <c r="M59" t="str">
        <f>IF(Table1[[#This Row],[Stress_Level(1-10)]]&lt;=4,"Low",IF(Table1[[#This Row],[Stress_Level(1-10)]]&lt;=7,"Medium","High"))</f>
        <v>Medium</v>
      </c>
      <c r="N59" t="str">
        <f>IF(Table1[[#This Row],[Happiness_Index(1-10)]]&lt;=4,"Low",IF(Table1[[#This Row],[Happiness_Index(1-10)]]&lt;=7,"Normal","High"))</f>
        <v>High</v>
      </c>
    </row>
    <row r="60" spans="1:14" x14ac:dyDescent="0.25">
      <c r="A60" t="s">
        <v>77</v>
      </c>
      <c r="B60">
        <v>31</v>
      </c>
      <c r="C60" t="s">
        <v>11</v>
      </c>
      <c r="D60">
        <v>7.6</v>
      </c>
      <c r="E60">
        <v>5</v>
      </c>
      <c r="F60">
        <v>10</v>
      </c>
      <c r="G60">
        <v>3</v>
      </c>
      <c r="H60">
        <v>2</v>
      </c>
      <c r="I60" t="s">
        <v>26</v>
      </c>
      <c r="J60">
        <v>6</v>
      </c>
      <c r="K60" t="str">
        <f t="shared" si="0"/>
        <v>26–35</v>
      </c>
      <c r="L60" t="str">
        <f>IF(Table1[[#This Row],[Daily_Screen_Time(hrs)]]&lt;=3,"Low",IF(Table1[[#This Row],[Daily_Screen_Time(hrs)]]&lt;=6,"Medium","High"))</f>
        <v>High</v>
      </c>
      <c r="M60" t="str">
        <f>IF(Table1[[#This Row],[Stress_Level(1-10)]]&lt;=4,"Low",IF(Table1[[#This Row],[Stress_Level(1-10)]]&lt;=7,"Medium","High"))</f>
        <v>High</v>
      </c>
      <c r="N60" t="str">
        <f>IF(Table1[[#This Row],[Happiness_Index(1-10)]]&lt;=4,"Low",IF(Table1[[#This Row],[Happiness_Index(1-10)]]&lt;=7,"Normal","High"))</f>
        <v>Normal</v>
      </c>
    </row>
    <row r="61" spans="1:14" x14ac:dyDescent="0.25">
      <c r="A61" t="s">
        <v>78</v>
      </c>
      <c r="B61">
        <v>33</v>
      </c>
      <c r="C61" t="s">
        <v>11</v>
      </c>
      <c r="D61">
        <v>8.4</v>
      </c>
      <c r="E61">
        <v>4</v>
      </c>
      <c r="F61">
        <v>8</v>
      </c>
      <c r="G61">
        <v>6</v>
      </c>
      <c r="H61">
        <v>4</v>
      </c>
      <c r="I61" t="s">
        <v>22</v>
      </c>
      <c r="J61">
        <v>7</v>
      </c>
      <c r="K61" t="str">
        <f t="shared" si="0"/>
        <v>26–35</v>
      </c>
      <c r="L61" t="str">
        <f>IF(Table1[[#This Row],[Daily_Screen_Time(hrs)]]&lt;=3,"Low",IF(Table1[[#This Row],[Daily_Screen_Time(hrs)]]&lt;=6,"Medium","High"))</f>
        <v>High</v>
      </c>
      <c r="M61" t="str">
        <f>IF(Table1[[#This Row],[Stress_Level(1-10)]]&lt;=4,"Low",IF(Table1[[#This Row],[Stress_Level(1-10)]]&lt;=7,"Medium","High"))</f>
        <v>High</v>
      </c>
      <c r="N61" t="str">
        <f>IF(Table1[[#This Row],[Happiness_Index(1-10)]]&lt;=4,"Low",IF(Table1[[#This Row],[Happiness_Index(1-10)]]&lt;=7,"Normal","High"))</f>
        <v>Normal</v>
      </c>
    </row>
    <row r="62" spans="1:14" x14ac:dyDescent="0.25">
      <c r="A62" t="s">
        <v>79</v>
      </c>
      <c r="B62">
        <v>39</v>
      </c>
      <c r="C62" t="s">
        <v>11</v>
      </c>
      <c r="D62">
        <v>2.7</v>
      </c>
      <c r="E62">
        <v>9</v>
      </c>
      <c r="F62">
        <v>5</v>
      </c>
      <c r="G62">
        <v>1</v>
      </c>
      <c r="H62">
        <v>3</v>
      </c>
      <c r="I62" t="s">
        <v>20</v>
      </c>
      <c r="J62">
        <v>10</v>
      </c>
      <c r="K62" t="str">
        <f t="shared" si="0"/>
        <v>36–45</v>
      </c>
      <c r="L62" t="str">
        <f>IF(Table1[[#This Row],[Daily_Screen_Time(hrs)]]&lt;=3,"Low",IF(Table1[[#This Row],[Daily_Screen_Time(hrs)]]&lt;=6,"Medium","High"))</f>
        <v>Low</v>
      </c>
      <c r="M62" t="str">
        <f>IF(Table1[[#This Row],[Stress_Level(1-10)]]&lt;=4,"Low",IF(Table1[[#This Row],[Stress_Level(1-10)]]&lt;=7,"Medium","High"))</f>
        <v>Medium</v>
      </c>
      <c r="N62" t="str">
        <f>IF(Table1[[#This Row],[Happiness_Index(1-10)]]&lt;=4,"Low",IF(Table1[[#This Row],[Happiness_Index(1-10)]]&lt;=7,"Normal","High"))</f>
        <v>High</v>
      </c>
    </row>
    <row r="63" spans="1:14" x14ac:dyDescent="0.25">
      <c r="A63" t="s">
        <v>80</v>
      </c>
      <c r="B63">
        <v>41</v>
      </c>
      <c r="C63" t="s">
        <v>19</v>
      </c>
      <c r="D63">
        <v>5.6</v>
      </c>
      <c r="E63">
        <v>6</v>
      </c>
      <c r="F63">
        <v>7</v>
      </c>
      <c r="G63">
        <v>2</v>
      </c>
      <c r="H63">
        <v>1</v>
      </c>
      <c r="I63" t="s">
        <v>20</v>
      </c>
      <c r="J63">
        <v>9</v>
      </c>
      <c r="K63" t="str">
        <f t="shared" si="0"/>
        <v>36–45</v>
      </c>
      <c r="L63" t="str">
        <f>IF(Table1[[#This Row],[Daily_Screen_Time(hrs)]]&lt;=3,"Low",IF(Table1[[#This Row],[Daily_Screen_Time(hrs)]]&lt;=6,"Medium","High"))</f>
        <v>Medium</v>
      </c>
      <c r="M63" t="str">
        <f>IF(Table1[[#This Row],[Stress_Level(1-10)]]&lt;=4,"Low",IF(Table1[[#This Row],[Stress_Level(1-10)]]&lt;=7,"Medium","High"))</f>
        <v>Medium</v>
      </c>
      <c r="N63" t="str">
        <f>IF(Table1[[#This Row],[Happiness_Index(1-10)]]&lt;=4,"Low",IF(Table1[[#This Row],[Happiness_Index(1-10)]]&lt;=7,"Normal","High"))</f>
        <v>High</v>
      </c>
    </row>
    <row r="64" spans="1:14" x14ac:dyDescent="0.25">
      <c r="A64" t="s">
        <v>81</v>
      </c>
      <c r="B64">
        <v>40</v>
      </c>
      <c r="C64" t="s">
        <v>19</v>
      </c>
      <c r="D64">
        <v>4.5999999999999996</v>
      </c>
      <c r="E64">
        <v>7</v>
      </c>
      <c r="F64">
        <v>7</v>
      </c>
      <c r="G64">
        <v>1</v>
      </c>
      <c r="H64">
        <v>3</v>
      </c>
      <c r="I64" t="s">
        <v>22</v>
      </c>
      <c r="J64">
        <v>10</v>
      </c>
      <c r="K64" t="str">
        <f t="shared" si="0"/>
        <v>36–45</v>
      </c>
      <c r="L64" t="str">
        <f>IF(Table1[[#This Row],[Daily_Screen_Time(hrs)]]&lt;=3,"Low",IF(Table1[[#This Row],[Daily_Screen_Time(hrs)]]&lt;=6,"Medium","High"))</f>
        <v>Medium</v>
      </c>
      <c r="M64" t="str">
        <f>IF(Table1[[#This Row],[Stress_Level(1-10)]]&lt;=4,"Low",IF(Table1[[#This Row],[Stress_Level(1-10)]]&lt;=7,"Medium","High"))</f>
        <v>Medium</v>
      </c>
      <c r="N64" t="str">
        <f>IF(Table1[[#This Row],[Happiness_Index(1-10)]]&lt;=4,"Low",IF(Table1[[#This Row],[Happiness_Index(1-10)]]&lt;=7,"Normal","High"))</f>
        <v>High</v>
      </c>
    </row>
    <row r="65" spans="1:14" x14ac:dyDescent="0.25">
      <c r="A65" t="s">
        <v>82</v>
      </c>
      <c r="B65">
        <v>44</v>
      </c>
      <c r="C65" t="s">
        <v>19</v>
      </c>
      <c r="D65">
        <v>4.4000000000000004</v>
      </c>
      <c r="E65">
        <v>6</v>
      </c>
      <c r="F65">
        <v>7</v>
      </c>
      <c r="G65">
        <v>1</v>
      </c>
      <c r="H65">
        <v>3</v>
      </c>
      <c r="I65" t="s">
        <v>15</v>
      </c>
      <c r="J65">
        <v>9</v>
      </c>
      <c r="K65" t="str">
        <f t="shared" si="0"/>
        <v>36–45</v>
      </c>
      <c r="L65" t="str">
        <f>IF(Table1[[#This Row],[Daily_Screen_Time(hrs)]]&lt;=3,"Low",IF(Table1[[#This Row],[Daily_Screen_Time(hrs)]]&lt;=6,"Medium","High"))</f>
        <v>Medium</v>
      </c>
      <c r="M65" t="str">
        <f>IF(Table1[[#This Row],[Stress_Level(1-10)]]&lt;=4,"Low",IF(Table1[[#This Row],[Stress_Level(1-10)]]&lt;=7,"Medium","High"))</f>
        <v>Medium</v>
      </c>
      <c r="N65" t="str">
        <f>IF(Table1[[#This Row],[Happiness_Index(1-10)]]&lt;=4,"Low",IF(Table1[[#This Row],[Happiness_Index(1-10)]]&lt;=7,"Normal","High"))</f>
        <v>High</v>
      </c>
    </row>
    <row r="66" spans="1:14" x14ac:dyDescent="0.25">
      <c r="A66" t="s">
        <v>83</v>
      </c>
      <c r="B66">
        <v>30</v>
      </c>
      <c r="C66" t="s">
        <v>11</v>
      </c>
      <c r="D66">
        <v>6.5</v>
      </c>
      <c r="E66">
        <v>4</v>
      </c>
      <c r="F66">
        <v>9</v>
      </c>
      <c r="G66">
        <v>4</v>
      </c>
      <c r="H66">
        <v>3</v>
      </c>
      <c r="I66" t="s">
        <v>20</v>
      </c>
      <c r="J66">
        <v>5</v>
      </c>
      <c r="K66" t="str">
        <f t="shared" ref="K66:K129" si="1">IF(B66&lt;=25,"15–25",IF(B66&lt;=35,"26–35",IF(B66&lt;=45,"36–45","46+")))</f>
        <v>26–35</v>
      </c>
      <c r="L66" t="str">
        <f>IF(Table1[[#This Row],[Daily_Screen_Time(hrs)]]&lt;=3,"Low",IF(Table1[[#This Row],[Daily_Screen_Time(hrs)]]&lt;=6,"Medium","High"))</f>
        <v>High</v>
      </c>
      <c r="M66" t="str">
        <f>IF(Table1[[#This Row],[Stress_Level(1-10)]]&lt;=4,"Low",IF(Table1[[#This Row],[Stress_Level(1-10)]]&lt;=7,"Medium","High"))</f>
        <v>High</v>
      </c>
      <c r="N66" t="str">
        <f>IF(Table1[[#This Row],[Happiness_Index(1-10)]]&lt;=4,"Low",IF(Table1[[#This Row],[Happiness_Index(1-10)]]&lt;=7,"Normal","High"))</f>
        <v>Normal</v>
      </c>
    </row>
    <row r="67" spans="1:14" x14ac:dyDescent="0.25">
      <c r="A67" t="s">
        <v>84</v>
      </c>
      <c r="B67">
        <v>16</v>
      </c>
      <c r="C67" t="s">
        <v>11</v>
      </c>
      <c r="D67">
        <v>4.4000000000000004</v>
      </c>
      <c r="E67">
        <v>8</v>
      </c>
      <c r="F67">
        <v>4</v>
      </c>
      <c r="G67">
        <v>5</v>
      </c>
      <c r="H67">
        <v>1</v>
      </c>
      <c r="I67" t="s">
        <v>17</v>
      </c>
      <c r="J67">
        <v>10</v>
      </c>
      <c r="K67" t="str">
        <f t="shared" si="1"/>
        <v>15–25</v>
      </c>
      <c r="L67" t="str">
        <f>IF(Table1[[#This Row],[Daily_Screen_Time(hrs)]]&lt;=3,"Low",IF(Table1[[#This Row],[Daily_Screen_Time(hrs)]]&lt;=6,"Medium","High"))</f>
        <v>Medium</v>
      </c>
      <c r="M67" t="str">
        <f>IF(Table1[[#This Row],[Stress_Level(1-10)]]&lt;=4,"Low",IF(Table1[[#This Row],[Stress_Level(1-10)]]&lt;=7,"Medium","High"))</f>
        <v>Low</v>
      </c>
      <c r="N67" t="str">
        <f>IF(Table1[[#This Row],[Happiness_Index(1-10)]]&lt;=4,"Low",IF(Table1[[#This Row],[Happiness_Index(1-10)]]&lt;=7,"Normal","High"))</f>
        <v>High</v>
      </c>
    </row>
    <row r="68" spans="1:14" x14ac:dyDescent="0.25">
      <c r="A68" t="s">
        <v>85</v>
      </c>
      <c r="B68">
        <v>40</v>
      </c>
      <c r="C68" t="s">
        <v>11</v>
      </c>
      <c r="D68">
        <v>4.5999999999999996</v>
      </c>
      <c r="E68">
        <v>7</v>
      </c>
      <c r="F68">
        <v>6</v>
      </c>
      <c r="G68">
        <v>2</v>
      </c>
      <c r="H68">
        <v>1</v>
      </c>
      <c r="I68" t="s">
        <v>17</v>
      </c>
      <c r="J68">
        <v>10</v>
      </c>
      <c r="K68" t="str">
        <f t="shared" si="1"/>
        <v>36–45</v>
      </c>
      <c r="L68" t="str">
        <f>IF(Table1[[#This Row],[Daily_Screen_Time(hrs)]]&lt;=3,"Low",IF(Table1[[#This Row],[Daily_Screen_Time(hrs)]]&lt;=6,"Medium","High"))</f>
        <v>Medium</v>
      </c>
      <c r="M68" t="str">
        <f>IF(Table1[[#This Row],[Stress_Level(1-10)]]&lt;=4,"Low",IF(Table1[[#This Row],[Stress_Level(1-10)]]&lt;=7,"Medium","High"))</f>
        <v>Medium</v>
      </c>
      <c r="N68" t="str">
        <f>IF(Table1[[#This Row],[Happiness_Index(1-10)]]&lt;=4,"Low",IF(Table1[[#This Row],[Happiness_Index(1-10)]]&lt;=7,"Normal","High"))</f>
        <v>High</v>
      </c>
    </row>
    <row r="69" spans="1:14" x14ac:dyDescent="0.25">
      <c r="A69" t="s">
        <v>86</v>
      </c>
      <c r="B69">
        <v>22</v>
      </c>
      <c r="C69" t="s">
        <v>11</v>
      </c>
      <c r="D69">
        <v>5.2</v>
      </c>
      <c r="E69">
        <v>9</v>
      </c>
      <c r="F69">
        <v>7</v>
      </c>
      <c r="G69">
        <v>5</v>
      </c>
      <c r="H69">
        <v>1</v>
      </c>
      <c r="I69" t="s">
        <v>20</v>
      </c>
      <c r="J69">
        <v>10</v>
      </c>
      <c r="K69" t="str">
        <f t="shared" si="1"/>
        <v>15–25</v>
      </c>
      <c r="L69" t="str">
        <f>IF(Table1[[#This Row],[Daily_Screen_Time(hrs)]]&lt;=3,"Low",IF(Table1[[#This Row],[Daily_Screen_Time(hrs)]]&lt;=6,"Medium","High"))</f>
        <v>Medium</v>
      </c>
      <c r="M69" t="str">
        <f>IF(Table1[[#This Row],[Stress_Level(1-10)]]&lt;=4,"Low",IF(Table1[[#This Row],[Stress_Level(1-10)]]&lt;=7,"Medium","High"))</f>
        <v>Medium</v>
      </c>
      <c r="N69" t="str">
        <f>IF(Table1[[#This Row],[Happiness_Index(1-10)]]&lt;=4,"Low",IF(Table1[[#This Row],[Happiness_Index(1-10)]]&lt;=7,"Normal","High"))</f>
        <v>High</v>
      </c>
    </row>
    <row r="70" spans="1:14" x14ac:dyDescent="0.25">
      <c r="A70" t="s">
        <v>87</v>
      </c>
      <c r="B70">
        <v>24</v>
      </c>
      <c r="C70" t="s">
        <v>19</v>
      </c>
      <c r="D70">
        <v>4.8</v>
      </c>
      <c r="E70">
        <v>6</v>
      </c>
      <c r="F70">
        <v>7</v>
      </c>
      <c r="G70">
        <v>5</v>
      </c>
      <c r="H70">
        <v>2</v>
      </c>
      <c r="I70" t="s">
        <v>20</v>
      </c>
      <c r="J70">
        <v>7</v>
      </c>
      <c r="K70" t="str">
        <f t="shared" si="1"/>
        <v>15–25</v>
      </c>
      <c r="L70" t="str">
        <f>IF(Table1[[#This Row],[Daily_Screen_Time(hrs)]]&lt;=3,"Low",IF(Table1[[#This Row],[Daily_Screen_Time(hrs)]]&lt;=6,"Medium","High"))</f>
        <v>Medium</v>
      </c>
      <c r="M70" t="str">
        <f>IF(Table1[[#This Row],[Stress_Level(1-10)]]&lt;=4,"Low",IF(Table1[[#This Row],[Stress_Level(1-10)]]&lt;=7,"Medium","High"))</f>
        <v>Medium</v>
      </c>
      <c r="N70" t="str">
        <f>IF(Table1[[#This Row],[Happiness_Index(1-10)]]&lt;=4,"Low",IF(Table1[[#This Row],[Happiness_Index(1-10)]]&lt;=7,"Normal","High"))</f>
        <v>Normal</v>
      </c>
    </row>
    <row r="71" spans="1:14" x14ac:dyDescent="0.25">
      <c r="A71" t="s">
        <v>88</v>
      </c>
      <c r="B71">
        <v>39</v>
      </c>
      <c r="C71" t="s">
        <v>11</v>
      </c>
      <c r="D71">
        <v>3.4</v>
      </c>
      <c r="E71">
        <v>8</v>
      </c>
      <c r="F71">
        <v>6</v>
      </c>
      <c r="G71">
        <v>7</v>
      </c>
      <c r="H71">
        <v>3</v>
      </c>
      <c r="I71" t="s">
        <v>15</v>
      </c>
      <c r="J71">
        <v>10</v>
      </c>
      <c r="K71" t="str">
        <f t="shared" si="1"/>
        <v>36–45</v>
      </c>
      <c r="L71" t="str">
        <f>IF(Table1[[#This Row],[Daily_Screen_Time(hrs)]]&lt;=3,"Low",IF(Table1[[#This Row],[Daily_Screen_Time(hrs)]]&lt;=6,"Medium","High"))</f>
        <v>Medium</v>
      </c>
      <c r="M71" t="str">
        <f>IF(Table1[[#This Row],[Stress_Level(1-10)]]&lt;=4,"Low",IF(Table1[[#This Row],[Stress_Level(1-10)]]&lt;=7,"Medium","High"))</f>
        <v>Medium</v>
      </c>
      <c r="N71" t="str">
        <f>IF(Table1[[#This Row],[Happiness_Index(1-10)]]&lt;=4,"Low",IF(Table1[[#This Row],[Happiness_Index(1-10)]]&lt;=7,"Normal","High"))</f>
        <v>High</v>
      </c>
    </row>
    <row r="72" spans="1:14" x14ac:dyDescent="0.25">
      <c r="A72" t="s">
        <v>89</v>
      </c>
      <c r="B72">
        <v>16</v>
      </c>
      <c r="C72" t="s">
        <v>11</v>
      </c>
      <c r="D72">
        <v>6.9</v>
      </c>
      <c r="E72">
        <v>5</v>
      </c>
      <c r="F72">
        <v>8</v>
      </c>
      <c r="G72">
        <v>3</v>
      </c>
      <c r="H72">
        <v>3</v>
      </c>
      <c r="I72" t="s">
        <v>17</v>
      </c>
      <c r="J72">
        <v>5</v>
      </c>
      <c r="K72" t="str">
        <f t="shared" si="1"/>
        <v>15–25</v>
      </c>
      <c r="L72" t="str">
        <f>IF(Table1[[#This Row],[Daily_Screen_Time(hrs)]]&lt;=3,"Low",IF(Table1[[#This Row],[Daily_Screen_Time(hrs)]]&lt;=6,"Medium","High"))</f>
        <v>High</v>
      </c>
      <c r="M72" t="str">
        <f>IF(Table1[[#This Row],[Stress_Level(1-10)]]&lt;=4,"Low",IF(Table1[[#This Row],[Stress_Level(1-10)]]&lt;=7,"Medium","High"))</f>
        <v>High</v>
      </c>
      <c r="N72" t="str">
        <f>IF(Table1[[#This Row],[Happiness_Index(1-10)]]&lt;=4,"Low",IF(Table1[[#This Row],[Happiness_Index(1-10)]]&lt;=7,"Normal","High"))</f>
        <v>Normal</v>
      </c>
    </row>
    <row r="73" spans="1:14" x14ac:dyDescent="0.25">
      <c r="A73" t="s">
        <v>90</v>
      </c>
      <c r="B73">
        <v>23</v>
      </c>
      <c r="C73" t="s">
        <v>19</v>
      </c>
      <c r="D73">
        <v>7.4</v>
      </c>
      <c r="E73">
        <v>6</v>
      </c>
      <c r="F73">
        <v>7</v>
      </c>
      <c r="G73">
        <v>2</v>
      </c>
      <c r="H73">
        <v>3</v>
      </c>
      <c r="I73" t="s">
        <v>20</v>
      </c>
      <c r="J73">
        <v>8</v>
      </c>
      <c r="K73" t="str">
        <f t="shared" si="1"/>
        <v>15–25</v>
      </c>
      <c r="L73" t="str">
        <f>IF(Table1[[#This Row],[Daily_Screen_Time(hrs)]]&lt;=3,"Low",IF(Table1[[#This Row],[Daily_Screen_Time(hrs)]]&lt;=6,"Medium","High"))</f>
        <v>High</v>
      </c>
      <c r="M73" t="str">
        <f>IF(Table1[[#This Row],[Stress_Level(1-10)]]&lt;=4,"Low",IF(Table1[[#This Row],[Stress_Level(1-10)]]&lt;=7,"Medium","High"))</f>
        <v>Medium</v>
      </c>
      <c r="N73" t="str">
        <f>IF(Table1[[#This Row],[Happiness_Index(1-10)]]&lt;=4,"Low",IF(Table1[[#This Row],[Happiness_Index(1-10)]]&lt;=7,"Normal","High"))</f>
        <v>High</v>
      </c>
    </row>
    <row r="74" spans="1:14" x14ac:dyDescent="0.25">
      <c r="A74" t="s">
        <v>91</v>
      </c>
      <c r="B74">
        <v>39</v>
      </c>
      <c r="C74" t="s">
        <v>11</v>
      </c>
      <c r="D74">
        <v>6.1</v>
      </c>
      <c r="E74">
        <v>5</v>
      </c>
      <c r="F74">
        <v>5</v>
      </c>
      <c r="G74">
        <v>1</v>
      </c>
      <c r="H74">
        <v>5</v>
      </c>
      <c r="I74" t="s">
        <v>20</v>
      </c>
      <c r="J74">
        <v>10</v>
      </c>
      <c r="K74" t="str">
        <f t="shared" si="1"/>
        <v>36–45</v>
      </c>
      <c r="L74" t="str">
        <f>IF(Table1[[#This Row],[Daily_Screen_Time(hrs)]]&lt;=3,"Low",IF(Table1[[#This Row],[Daily_Screen_Time(hrs)]]&lt;=6,"Medium","High"))</f>
        <v>High</v>
      </c>
      <c r="M74" t="str">
        <f>IF(Table1[[#This Row],[Stress_Level(1-10)]]&lt;=4,"Low",IF(Table1[[#This Row],[Stress_Level(1-10)]]&lt;=7,"Medium","High"))</f>
        <v>Medium</v>
      </c>
      <c r="N74" t="str">
        <f>IF(Table1[[#This Row],[Happiness_Index(1-10)]]&lt;=4,"Low",IF(Table1[[#This Row],[Happiness_Index(1-10)]]&lt;=7,"Normal","High"))</f>
        <v>High</v>
      </c>
    </row>
    <row r="75" spans="1:14" x14ac:dyDescent="0.25">
      <c r="A75" t="s">
        <v>92</v>
      </c>
      <c r="B75">
        <v>26</v>
      </c>
      <c r="C75" t="s">
        <v>19</v>
      </c>
      <c r="D75">
        <v>4.8</v>
      </c>
      <c r="E75">
        <v>6</v>
      </c>
      <c r="F75">
        <v>6</v>
      </c>
      <c r="G75">
        <v>1</v>
      </c>
      <c r="H75">
        <v>4</v>
      </c>
      <c r="I75" t="s">
        <v>15</v>
      </c>
      <c r="J75">
        <v>8</v>
      </c>
      <c r="K75" t="str">
        <f t="shared" si="1"/>
        <v>26–35</v>
      </c>
      <c r="L75" t="str">
        <f>IF(Table1[[#This Row],[Daily_Screen_Time(hrs)]]&lt;=3,"Low",IF(Table1[[#This Row],[Daily_Screen_Time(hrs)]]&lt;=6,"Medium","High"))</f>
        <v>Medium</v>
      </c>
      <c r="M75" t="str">
        <f>IF(Table1[[#This Row],[Stress_Level(1-10)]]&lt;=4,"Low",IF(Table1[[#This Row],[Stress_Level(1-10)]]&lt;=7,"Medium","High"))</f>
        <v>Medium</v>
      </c>
      <c r="N75" t="str">
        <f>IF(Table1[[#This Row],[Happiness_Index(1-10)]]&lt;=4,"Low",IF(Table1[[#This Row],[Happiness_Index(1-10)]]&lt;=7,"Normal","High"))</f>
        <v>High</v>
      </c>
    </row>
    <row r="76" spans="1:14" x14ac:dyDescent="0.25">
      <c r="A76" t="s">
        <v>93</v>
      </c>
      <c r="B76">
        <v>32</v>
      </c>
      <c r="C76" t="s">
        <v>19</v>
      </c>
      <c r="D76">
        <v>4.2</v>
      </c>
      <c r="E76">
        <v>8</v>
      </c>
      <c r="F76">
        <v>8</v>
      </c>
      <c r="G76">
        <v>5</v>
      </c>
      <c r="H76">
        <v>2</v>
      </c>
      <c r="I76" t="s">
        <v>15</v>
      </c>
      <c r="J76">
        <v>8</v>
      </c>
      <c r="K76" t="str">
        <f t="shared" si="1"/>
        <v>26–35</v>
      </c>
      <c r="L76" t="str">
        <f>IF(Table1[[#This Row],[Daily_Screen_Time(hrs)]]&lt;=3,"Low",IF(Table1[[#This Row],[Daily_Screen_Time(hrs)]]&lt;=6,"Medium","High"))</f>
        <v>Medium</v>
      </c>
      <c r="M76" t="str">
        <f>IF(Table1[[#This Row],[Stress_Level(1-10)]]&lt;=4,"Low",IF(Table1[[#This Row],[Stress_Level(1-10)]]&lt;=7,"Medium","High"))</f>
        <v>High</v>
      </c>
      <c r="N76" t="str">
        <f>IF(Table1[[#This Row],[Happiness_Index(1-10)]]&lt;=4,"Low",IF(Table1[[#This Row],[Happiness_Index(1-10)]]&lt;=7,"Normal","High"))</f>
        <v>High</v>
      </c>
    </row>
    <row r="77" spans="1:14" x14ac:dyDescent="0.25">
      <c r="A77" t="s">
        <v>94</v>
      </c>
      <c r="B77">
        <v>23</v>
      </c>
      <c r="C77" t="s">
        <v>11</v>
      </c>
      <c r="D77">
        <v>4.2</v>
      </c>
      <c r="E77">
        <v>7</v>
      </c>
      <c r="F77">
        <v>5</v>
      </c>
      <c r="G77">
        <v>0</v>
      </c>
      <c r="H77">
        <v>1</v>
      </c>
      <c r="I77" t="s">
        <v>22</v>
      </c>
      <c r="J77">
        <v>10</v>
      </c>
      <c r="K77" t="str">
        <f t="shared" si="1"/>
        <v>15–25</v>
      </c>
      <c r="L77" t="str">
        <f>IF(Table1[[#This Row],[Daily_Screen_Time(hrs)]]&lt;=3,"Low",IF(Table1[[#This Row],[Daily_Screen_Time(hrs)]]&lt;=6,"Medium","High"))</f>
        <v>Medium</v>
      </c>
      <c r="M77" t="str">
        <f>IF(Table1[[#This Row],[Stress_Level(1-10)]]&lt;=4,"Low",IF(Table1[[#This Row],[Stress_Level(1-10)]]&lt;=7,"Medium","High"))</f>
        <v>Medium</v>
      </c>
      <c r="N77" t="str">
        <f>IF(Table1[[#This Row],[Happiness_Index(1-10)]]&lt;=4,"Low",IF(Table1[[#This Row],[Happiness_Index(1-10)]]&lt;=7,"Normal","High"))</f>
        <v>High</v>
      </c>
    </row>
    <row r="78" spans="1:14" x14ac:dyDescent="0.25">
      <c r="A78" t="s">
        <v>95</v>
      </c>
      <c r="B78">
        <v>48</v>
      </c>
      <c r="C78" t="s">
        <v>19</v>
      </c>
      <c r="D78">
        <v>9.6999999999999993</v>
      </c>
      <c r="E78">
        <v>4</v>
      </c>
      <c r="F78">
        <v>8</v>
      </c>
      <c r="G78">
        <v>5</v>
      </c>
      <c r="H78">
        <v>1</v>
      </c>
      <c r="I78" t="s">
        <v>15</v>
      </c>
      <c r="J78">
        <v>5</v>
      </c>
      <c r="K78" t="str">
        <f t="shared" si="1"/>
        <v>46+</v>
      </c>
      <c r="L78" t="str">
        <f>IF(Table1[[#This Row],[Daily_Screen_Time(hrs)]]&lt;=3,"Low",IF(Table1[[#This Row],[Daily_Screen_Time(hrs)]]&lt;=6,"Medium","High"))</f>
        <v>High</v>
      </c>
      <c r="M78" t="str">
        <f>IF(Table1[[#This Row],[Stress_Level(1-10)]]&lt;=4,"Low",IF(Table1[[#This Row],[Stress_Level(1-10)]]&lt;=7,"Medium","High"))</f>
        <v>High</v>
      </c>
      <c r="N78" t="str">
        <f>IF(Table1[[#This Row],[Happiness_Index(1-10)]]&lt;=4,"Low",IF(Table1[[#This Row],[Happiness_Index(1-10)]]&lt;=7,"Normal","High"))</f>
        <v>Normal</v>
      </c>
    </row>
    <row r="79" spans="1:14" x14ac:dyDescent="0.25">
      <c r="A79" t="s">
        <v>96</v>
      </c>
      <c r="B79">
        <v>20</v>
      </c>
      <c r="C79" t="s">
        <v>19</v>
      </c>
      <c r="D79">
        <v>7.2</v>
      </c>
      <c r="E79">
        <v>6</v>
      </c>
      <c r="F79">
        <v>9</v>
      </c>
      <c r="G79">
        <v>1</v>
      </c>
      <c r="H79">
        <v>2</v>
      </c>
      <c r="I79" t="s">
        <v>26</v>
      </c>
      <c r="J79">
        <v>6</v>
      </c>
      <c r="K79" t="str">
        <f t="shared" si="1"/>
        <v>15–25</v>
      </c>
      <c r="L79" t="str">
        <f>IF(Table1[[#This Row],[Daily_Screen_Time(hrs)]]&lt;=3,"Low",IF(Table1[[#This Row],[Daily_Screen_Time(hrs)]]&lt;=6,"Medium","High"))</f>
        <v>High</v>
      </c>
      <c r="M79" t="str">
        <f>IF(Table1[[#This Row],[Stress_Level(1-10)]]&lt;=4,"Low",IF(Table1[[#This Row],[Stress_Level(1-10)]]&lt;=7,"Medium","High"))</f>
        <v>High</v>
      </c>
      <c r="N79" t="str">
        <f>IF(Table1[[#This Row],[Happiness_Index(1-10)]]&lt;=4,"Low",IF(Table1[[#This Row],[Happiness_Index(1-10)]]&lt;=7,"Normal","High"))</f>
        <v>Normal</v>
      </c>
    </row>
    <row r="80" spans="1:14" x14ac:dyDescent="0.25">
      <c r="A80" t="s">
        <v>97</v>
      </c>
      <c r="B80">
        <v>43</v>
      </c>
      <c r="C80" t="s">
        <v>14</v>
      </c>
      <c r="D80">
        <v>4</v>
      </c>
      <c r="E80">
        <v>7</v>
      </c>
      <c r="F80">
        <v>7</v>
      </c>
      <c r="G80">
        <v>2</v>
      </c>
      <c r="H80">
        <v>4</v>
      </c>
      <c r="I80" t="s">
        <v>17</v>
      </c>
      <c r="J80">
        <v>9</v>
      </c>
      <c r="K80" t="str">
        <f t="shared" si="1"/>
        <v>36–45</v>
      </c>
      <c r="L80" t="str">
        <f>IF(Table1[[#This Row],[Daily_Screen_Time(hrs)]]&lt;=3,"Low",IF(Table1[[#This Row],[Daily_Screen_Time(hrs)]]&lt;=6,"Medium","High"))</f>
        <v>Medium</v>
      </c>
      <c r="M80" t="str">
        <f>IF(Table1[[#This Row],[Stress_Level(1-10)]]&lt;=4,"Low",IF(Table1[[#This Row],[Stress_Level(1-10)]]&lt;=7,"Medium","High"))</f>
        <v>Medium</v>
      </c>
      <c r="N80" t="str">
        <f>IF(Table1[[#This Row],[Happiness_Index(1-10)]]&lt;=4,"Low",IF(Table1[[#This Row],[Happiness_Index(1-10)]]&lt;=7,"Normal","High"))</f>
        <v>High</v>
      </c>
    </row>
    <row r="81" spans="1:14" x14ac:dyDescent="0.25">
      <c r="A81" t="s">
        <v>98</v>
      </c>
      <c r="B81">
        <v>22</v>
      </c>
      <c r="C81" t="s">
        <v>11</v>
      </c>
      <c r="D81">
        <v>5.8</v>
      </c>
      <c r="E81">
        <v>6</v>
      </c>
      <c r="F81">
        <v>8</v>
      </c>
      <c r="G81">
        <v>3</v>
      </c>
      <c r="H81">
        <v>2</v>
      </c>
      <c r="I81" t="s">
        <v>22</v>
      </c>
      <c r="J81">
        <v>7</v>
      </c>
      <c r="K81" t="str">
        <f t="shared" si="1"/>
        <v>15–25</v>
      </c>
      <c r="L81" t="str">
        <f>IF(Table1[[#This Row],[Daily_Screen_Time(hrs)]]&lt;=3,"Low",IF(Table1[[#This Row],[Daily_Screen_Time(hrs)]]&lt;=6,"Medium","High"))</f>
        <v>Medium</v>
      </c>
      <c r="M81" t="str">
        <f>IF(Table1[[#This Row],[Stress_Level(1-10)]]&lt;=4,"Low",IF(Table1[[#This Row],[Stress_Level(1-10)]]&lt;=7,"Medium","High"))</f>
        <v>High</v>
      </c>
      <c r="N81" t="str">
        <f>IF(Table1[[#This Row],[Happiness_Index(1-10)]]&lt;=4,"Low",IF(Table1[[#This Row],[Happiness_Index(1-10)]]&lt;=7,"Normal","High"))</f>
        <v>Normal</v>
      </c>
    </row>
    <row r="82" spans="1:14" x14ac:dyDescent="0.25">
      <c r="A82" t="s">
        <v>99</v>
      </c>
      <c r="B82">
        <v>24</v>
      </c>
      <c r="C82" t="s">
        <v>19</v>
      </c>
      <c r="D82">
        <v>4.8</v>
      </c>
      <c r="E82">
        <v>6</v>
      </c>
      <c r="F82">
        <v>7</v>
      </c>
      <c r="G82">
        <v>2</v>
      </c>
      <c r="H82">
        <v>2</v>
      </c>
      <c r="I82" t="s">
        <v>26</v>
      </c>
      <c r="J82">
        <v>8</v>
      </c>
      <c r="K82" t="str">
        <f t="shared" si="1"/>
        <v>15–25</v>
      </c>
      <c r="L82" t="str">
        <f>IF(Table1[[#This Row],[Daily_Screen_Time(hrs)]]&lt;=3,"Low",IF(Table1[[#This Row],[Daily_Screen_Time(hrs)]]&lt;=6,"Medium","High"))</f>
        <v>Medium</v>
      </c>
      <c r="M82" t="str">
        <f>IF(Table1[[#This Row],[Stress_Level(1-10)]]&lt;=4,"Low",IF(Table1[[#This Row],[Stress_Level(1-10)]]&lt;=7,"Medium","High"))</f>
        <v>Medium</v>
      </c>
      <c r="N82" t="str">
        <f>IF(Table1[[#This Row],[Happiness_Index(1-10)]]&lt;=4,"Low",IF(Table1[[#This Row],[Happiness_Index(1-10)]]&lt;=7,"Normal","High"))</f>
        <v>High</v>
      </c>
    </row>
    <row r="83" spans="1:14" x14ac:dyDescent="0.25">
      <c r="A83" t="s">
        <v>100</v>
      </c>
      <c r="B83">
        <v>23</v>
      </c>
      <c r="C83" t="s">
        <v>19</v>
      </c>
      <c r="D83">
        <v>6.6</v>
      </c>
      <c r="E83">
        <v>6</v>
      </c>
      <c r="F83">
        <v>8</v>
      </c>
      <c r="G83">
        <v>5</v>
      </c>
      <c r="H83">
        <v>1</v>
      </c>
      <c r="I83" t="s">
        <v>20</v>
      </c>
      <c r="J83">
        <v>8</v>
      </c>
      <c r="K83" t="str">
        <f t="shared" si="1"/>
        <v>15–25</v>
      </c>
      <c r="L83" t="str">
        <f>IF(Table1[[#This Row],[Daily_Screen_Time(hrs)]]&lt;=3,"Low",IF(Table1[[#This Row],[Daily_Screen_Time(hrs)]]&lt;=6,"Medium","High"))</f>
        <v>High</v>
      </c>
      <c r="M83" t="str">
        <f>IF(Table1[[#This Row],[Stress_Level(1-10)]]&lt;=4,"Low",IF(Table1[[#This Row],[Stress_Level(1-10)]]&lt;=7,"Medium","High"))</f>
        <v>High</v>
      </c>
      <c r="N83" t="str">
        <f>IF(Table1[[#This Row],[Happiness_Index(1-10)]]&lt;=4,"Low",IF(Table1[[#This Row],[Happiness_Index(1-10)]]&lt;=7,"Normal","High"))</f>
        <v>High</v>
      </c>
    </row>
    <row r="84" spans="1:14" x14ac:dyDescent="0.25">
      <c r="A84" t="s">
        <v>101</v>
      </c>
      <c r="B84">
        <v>27</v>
      </c>
      <c r="C84" t="s">
        <v>11</v>
      </c>
      <c r="D84">
        <v>6.5</v>
      </c>
      <c r="E84">
        <v>7</v>
      </c>
      <c r="F84">
        <v>9</v>
      </c>
      <c r="G84">
        <v>7</v>
      </c>
      <c r="H84">
        <v>2</v>
      </c>
      <c r="I84" t="s">
        <v>20</v>
      </c>
      <c r="J84">
        <v>8</v>
      </c>
      <c r="K84" t="str">
        <f t="shared" si="1"/>
        <v>26–35</v>
      </c>
      <c r="L84" t="str">
        <f>IF(Table1[[#This Row],[Daily_Screen_Time(hrs)]]&lt;=3,"Low",IF(Table1[[#This Row],[Daily_Screen_Time(hrs)]]&lt;=6,"Medium","High"))</f>
        <v>High</v>
      </c>
      <c r="M84" t="str">
        <f>IF(Table1[[#This Row],[Stress_Level(1-10)]]&lt;=4,"Low",IF(Table1[[#This Row],[Stress_Level(1-10)]]&lt;=7,"Medium","High"))</f>
        <v>High</v>
      </c>
      <c r="N84" t="str">
        <f>IF(Table1[[#This Row],[Happiness_Index(1-10)]]&lt;=4,"Low",IF(Table1[[#This Row],[Happiness_Index(1-10)]]&lt;=7,"Normal","High"))</f>
        <v>High</v>
      </c>
    </row>
    <row r="85" spans="1:14" x14ac:dyDescent="0.25">
      <c r="A85" t="s">
        <v>102</v>
      </c>
      <c r="B85">
        <v>49</v>
      </c>
      <c r="C85" t="s">
        <v>11</v>
      </c>
      <c r="D85">
        <v>7.5</v>
      </c>
      <c r="E85">
        <v>4</v>
      </c>
      <c r="F85">
        <v>7</v>
      </c>
      <c r="G85">
        <v>2</v>
      </c>
      <c r="H85">
        <v>4</v>
      </c>
      <c r="I85" t="s">
        <v>22</v>
      </c>
      <c r="J85">
        <v>8</v>
      </c>
      <c r="K85" t="str">
        <f t="shared" si="1"/>
        <v>46+</v>
      </c>
      <c r="L85" t="str">
        <f>IF(Table1[[#This Row],[Daily_Screen_Time(hrs)]]&lt;=3,"Low",IF(Table1[[#This Row],[Daily_Screen_Time(hrs)]]&lt;=6,"Medium","High"))</f>
        <v>High</v>
      </c>
      <c r="M85" t="str">
        <f>IF(Table1[[#This Row],[Stress_Level(1-10)]]&lt;=4,"Low",IF(Table1[[#This Row],[Stress_Level(1-10)]]&lt;=7,"Medium","High"))</f>
        <v>Medium</v>
      </c>
      <c r="N85" t="str">
        <f>IF(Table1[[#This Row],[Happiness_Index(1-10)]]&lt;=4,"Low",IF(Table1[[#This Row],[Happiness_Index(1-10)]]&lt;=7,"Normal","High"))</f>
        <v>High</v>
      </c>
    </row>
    <row r="86" spans="1:14" x14ac:dyDescent="0.25">
      <c r="A86" t="s">
        <v>103</v>
      </c>
      <c r="B86">
        <v>48</v>
      </c>
      <c r="C86" t="s">
        <v>14</v>
      </c>
      <c r="D86">
        <v>4</v>
      </c>
      <c r="E86">
        <v>7</v>
      </c>
      <c r="F86">
        <v>5</v>
      </c>
      <c r="G86">
        <v>2</v>
      </c>
      <c r="H86">
        <v>5</v>
      </c>
      <c r="I86" t="s">
        <v>15</v>
      </c>
      <c r="J86">
        <v>10</v>
      </c>
      <c r="K86" t="str">
        <f t="shared" si="1"/>
        <v>46+</v>
      </c>
      <c r="L86" t="str">
        <f>IF(Table1[[#This Row],[Daily_Screen_Time(hrs)]]&lt;=3,"Low",IF(Table1[[#This Row],[Daily_Screen_Time(hrs)]]&lt;=6,"Medium","High"))</f>
        <v>Medium</v>
      </c>
      <c r="M86" t="str">
        <f>IF(Table1[[#This Row],[Stress_Level(1-10)]]&lt;=4,"Low",IF(Table1[[#This Row],[Stress_Level(1-10)]]&lt;=7,"Medium","High"))</f>
        <v>Medium</v>
      </c>
      <c r="N86" t="str">
        <f>IF(Table1[[#This Row],[Happiness_Index(1-10)]]&lt;=4,"Low",IF(Table1[[#This Row],[Happiness_Index(1-10)]]&lt;=7,"Normal","High"))</f>
        <v>High</v>
      </c>
    </row>
    <row r="87" spans="1:14" x14ac:dyDescent="0.25">
      <c r="A87" t="s">
        <v>104</v>
      </c>
      <c r="B87">
        <v>38</v>
      </c>
      <c r="C87" t="s">
        <v>19</v>
      </c>
      <c r="D87">
        <v>5.7</v>
      </c>
      <c r="E87">
        <v>5</v>
      </c>
      <c r="F87">
        <v>6</v>
      </c>
      <c r="G87">
        <v>3</v>
      </c>
      <c r="H87">
        <v>2</v>
      </c>
      <c r="I87" t="s">
        <v>20</v>
      </c>
      <c r="J87">
        <v>9</v>
      </c>
      <c r="K87" t="str">
        <f t="shared" si="1"/>
        <v>36–45</v>
      </c>
      <c r="L87" t="str">
        <f>IF(Table1[[#This Row],[Daily_Screen_Time(hrs)]]&lt;=3,"Low",IF(Table1[[#This Row],[Daily_Screen_Time(hrs)]]&lt;=6,"Medium","High"))</f>
        <v>Medium</v>
      </c>
      <c r="M87" t="str">
        <f>IF(Table1[[#This Row],[Stress_Level(1-10)]]&lt;=4,"Low",IF(Table1[[#This Row],[Stress_Level(1-10)]]&lt;=7,"Medium","High"))</f>
        <v>Medium</v>
      </c>
      <c r="N87" t="str">
        <f>IF(Table1[[#This Row],[Happiness_Index(1-10)]]&lt;=4,"Low",IF(Table1[[#This Row],[Happiness_Index(1-10)]]&lt;=7,"Normal","High"))</f>
        <v>High</v>
      </c>
    </row>
    <row r="88" spans="1:14" x14ac:dyDescent="0.25">
      <c r="A88" t="s">
        <v>105</v>
      </c>
      <c r="B88">
        <v>39</v>
      </c>
      <c r="C88" t="s">
        <v>11</v>
      </c>
      <c r="D88">
        <v>2.4</v>
      </c>
      <c r="E88">
        <v>7</v>
      </c>
      <c r="F88">
        <v>4</v>
      </c>
      <c r="G88">
        <v>4</v>
      </c>
      <c r="H88">
        <v>2</v>
      </c>
      <c r="I88" t="s">
        <v>12</v>
      </c>
      <c r="J88">
        <v>10</v>
      </c>
      <c r="K88" t="str">
        <f t="shared" si="1"/>
        <v>36–45</v>
      </c>
      <c r="L88" t="str">
        <f>IF(Table1[[#This Row],[Daily_Screen_Time(hrs)]]&lt;=3,"Low",IF(Table1[[#This Row],[Daily_Screen_Time(hrs)]]&lt;=6,"Medium","High"))</f>
        <v>Low</v>
      </c>
      <c r="M88" t="str">
        <f>IF(Table1[[#This Row],[Stress_Level(1-10)]]&lt;=4,"Low",IF(Table1[[#This Row],[Stress_Level(1-10)]]&lt;=7,"Medium","High"))</f>
        <v>Low</v>
      </c>
      <c r="N88" t="str">
        <f>IF(Table1[[#This Row],[Happiness_Index(1-10)]]&lt;=4,"Low",IF(Table1[[#This Row],[Happiness_Index(1-10)]]&lt;=7,"Normal","High"))</f>
        <v>High</v>
      </c>
    </row>
    <row r="89" spans="1:14" x14ac:dyDescent="0.25">
      <c r="A89" t="s">
        <v>106</v>
      </c>
      <c r="B89">
        <v>37</v>
      </c>
      <c r="C89" t="s">
        <v>19</v>
      </c>
      <c r="D89">
        <v>3.2</v>
      </c>
      <c r="E89">
        <v>8</v>
      </c>
      <c r="F89">
        <v>7</v>
      </c>
      <c r="G89">
        <v>3</v>
      </c>
      <c r="H89">
        <v>1</v>
      </c>
      <c r="I89" t="s">
        <v>22</v>
      </c>
      <c r="J89">
        <v>10</v>
      </c>
      <c r="K89" t="str">
        <f t="shared" si="1"/>
        <v>36–45</v>
      </c>
      <c r="L89" t="str">
        <f>IF(Table1[[#This Row],[Daily_Screen_Time(hrs)]]&lt;=3,"Low",IF(Table1[[#This Row],[Daily_Screen_Time(hrs)]]&lt;=6,"Medium","High"))</f>
        <v>Medium</v>
      </c>
      <c r="M89" t="str">
        <f>IF(Table1[[#This Row],[Stress_Level(1-10)]]&lt;=4,"Low",IF(Table1[[#This Row],[Stress_Level(1-10)]]&lt;=7,"Medium","High"))</f>
        <v>Medium</v>
      </c>
      <c r="N89" t="str">
        <f>IF(Table1[[#This Row],[Happiness_Index(1-10)]]&lt;=4,"Low",IF(Table1[[#This Row],[Happiness_Index(1-10)]]&lt;=7,"Normal","High"))</f>
        <v>High</v>
      </c>
    </row>
    <row r="90" spans="1:14" x14ac:dyDescent="0.25">
      <c r="A90" t="s">
        <v>107</v>
      </c>
      <c r="B90">
        <v>42</v>
      </c>
      <c r="C90" t="s">
        <v>11</v>
      </c>
      <c r="D90">
        <v>7.1</v>
      </c>
      <c r="E90">
        <v>3</v>
      </c>
      <c r="F90">
        <v>8</v>
      </c>
      <c r="G90">
        <v>6</v>
      </c>
      <c r="H90">
        <v>5</v>
      </c>
      <c r="I90" t="s">
        <v>26</v>
      </c>
      <c r="J90">
        <v>6</v>
      </c>
      <c r="K90" t="str">
        <f t="shared" si="1"/>
        <v>36–45</v>
      </c>
      <c r="L90" t="str">
        <f>IF(Table1[[#This Row],[Daily_Screen_Time(hrs)]]&lt;=3,"Low",IF(Table1[[#This Row],[Daily_Screen_Time(hrs)]]&lt;=6,"Medium","High"))</f>
        <v>High</v>
      </c>
      <c r="M90" t="str">
        <f>IF(Table1[[#This Row],[Stress_Level(1-10)]]&lt;=4,"Low",IF(Table1[[#This Row],[Stress_Level(1-10)]]&lt;=7,"Medium","High"))</f>
        <v>High</v>
      </c>
      <c r="N90" t="str">
        <f>IF(Table1[[#This Row],[Happiness_Index(1-10)]]&lt;=4,"Low",IF(Table1[[#This Row],[Happiness_Index(1-10)]]&lt;=7,"Normal","High"))</f>
        <v>Normal</v>
      </c>
    </row>
    <row r="91" spans="1:14" x14ac:dyDescent="0.25">
      <c r="A91" t="s">
        <v>108</v>
      </c>
      <c r="B91">
        <v>16</v>
      </c>
      <c r="C91" t="s">
        <v>11</v>
      </c>
      <c r="D91">
        <v>3.8</v>
      </c>
      <c r="E91">
        <v>10</v>
      </c>
      <c r="F91">
        <v>6</v>
      </c>
      <c r="G91">
        <v>5</v>
      </c>
      <c r="H91">
        <v>0</v>
      </c>
      <c r="I91" t="s">
        <v>22</v>
      </c>
      <c r="J91">
        <v>10</v>
      </c>
      <c r="K91" t="str">
        <f t="shared" si="1"/>
        <v>15–25</v>
      </c>
      <c r="L91" t="str">
        <f>IF(Table1[[#This Row],[Daily_Screen_Time(hrs)]]&lt;=3,"Low",IF(Table1[[#This Row],[Daily_Screen_Time(hrs)]]&lt;=6,"Medium","High"))</f>
        <v>Medium</v>
      </c>
      <c r="M91" t="str">
        <f>IF(Table1[[#This Row],[Stress_Level(1-10)]]&lt;=4,"Low",IF(Table1[[#This Row],[Stress_Level(1-10)]]&lt;=7,"Medium","High"))</f>
        <v>Medium</v>
      </c>
      <c r="N91" t="str">
        <f>IF(Table1[[#This Row],[Happiness_Index(1-10)]]&lt;=4,"Low",IF(Table1[[#This Row],[Happiness_Index(1-10)]]&lt;=7,"Normal","High"))</f>
        <v>High</v>
      </c>
    </row>
    <row r="92" spans="1:14" x14ac:dyDescent="0.25">
      <c r="A92" t="s">
        <v>109</v>
      </c>
      <c r="B92">
        <v>29</v>
      </c>
      <c r="C92" t="s">
        <v>11</v>
      </c>
      <c r="D92">
        <v>4</v>
      </c>
      <c r="E92">
        <v>6</v>
      </c>
      <c r="F92">
        <v>4</v>
      </c>
      <c r="G92">
        <v>1</v>
      </c>
      <c r="H92">
        <v>4</v>
      </c>
      <c r="I92" t="s">
        <v>17</v>
      </c>
      <c r="J92">
        <v>9</v>
      </c>
      <c r="K92" t="str">
        <f t="shared" si="1"/>
        <v>26–35</v>
      </c>
      <c r="L92" t="str">
        <f>IF(Table1[[#This Row],[Daily_Screen_Time(hrs)]]&lt;=3,"Low",IF(Table1[[#This Row],[Daily_Screen_Time(hrs)]]&lt;=6,"Medium","High"))</f>
        <v>Medium</v>
      </c>
      <c r="M92" t="str">
        <f>IF(Table1[[#This Row],[Stress_Level(1-10)]]&lt;=4,"Low",IF(Table1[[#This Row],[Stress_Level(1-10)]]&lt;=7,"Medium","High"))</f>
        <v>Low</v>
      </c>
      <c r="N92" t="str">
        <f>IF(Table1[[#This Row],[Happiness_Index(1-10)]]&lt;=4,"Low",IF(Table1[[#This Row],[Happiness_Index(1-10)]]&lt;=7,"Normal","High"))</f>
        <v>High</v>
      </c>
    </row>
    <row r="93" spans="1:14" x14ac:dyDescent="0.25">
      <c r="A93" t="s">
        <v>110</v>
      </c>
      <c r="B93">
        <v>18</v>
      </c>
      <c r="C93" t="s">
        <v>11</v>
      </c>
      <c r="D93">
        <v>5.5</v>
      </c>
      <c r="E93">
        <v>6</v>
      </c>
      <c r="F93">
        <v>6</v>
      </c>
      <c r="G93">
        <v>4</v>
      </c>
      <c r="H93">
        <v>2</v>
      </c>
      <c r="I93" t="s">
        <v>15</v>
      </c>
      <c r="J93">
        <v>9</v>
      </c>
      <c r="K93" t="str">
        <f t="shared" si="1"/>
        <v>15–25</v>
      </c>
      <c r="L93" t="str">
        <f>IF(Table1[[#This Row],[Daily_Screen_Time(hrs)]]&lt;=3,"Low",IF(Table1[[#This Row],[Daily_Screen_Time(hrs)]]&lt;=6,"Medium","High"))</f>
        <v>Medium</v>
      </c>
      <c r="M93" t="str">
        <f>IF(Table1[[#This Row],[Stress_Level(1-10)]]&lt;=4,"Low",IF(Table1[[#This Row],[Stress_Level(1-10)]]&lt;=7,"Medium","High"))</f>
        <v>Medium</v>
      </c>
      <c r="N93" t="str">
        <f>IF(Table1[[#This Row],[Happiness_Index(1-10)]]&lt;=4,"Low",IF(Table1[[#This Row],[Happiness_Index(1-10)]]&lt;=7,"Normal","High"))</f>
        <v>High</v>
      </c>
    </row>
    <row r="94" spans="1:14" x14ac:dyDescent="0.25">
      <c r="A94" t="s">
        <v>111</v>
      </c>
      <c r="B94">
        <v>16</v>
      </c>
      <c r="C94" t="s">
        <v>11</v>
      </c>
      <c r="D94">
        <v>6.8</v>
      </c>
      <c r="E94">
        <v>7</v>
      </c>
      <c r="F94">
        <v>6</v>
      </c>
      <c r="G94">
        <v>6</v>
      </c>
      <c r="H94">
        <v>2</v>
      </c>
      <c r="I94" t="s">
        <v>15</v>
      </c>
      <c r="J94">
        <v>9</v>
      </c>
      <c r="K94" t="str">
        <f t="shared" si="1"/>
        <v>15–25</v>
      </c>
      <c r="L94" t="str">
        <f>IF(Table1[[#This Row],[Daily_Screen_Time(hrs)]]&lt;=3,"Low",IF(Table1[[#This Row],[Daily_Screen_Time(hrs)]]&lt;=6,"Medium","High"))</f>
        <v>High</v>
      </c>
      <c r="M94" t="str">
        <f>IF(Table1[[#This Row],[Stress_Level(1-10)]]&lt;=4,"Low",IF(Table1[[#This Row],[Stress_Level(1-10)]]&lt;=7,"Medium","High"))</f>
        <v>Medium</v>
      </c>
      <c r="N94" t="str">
        <f>IF(Table1[[#This Row],[Happiness_Index(1-10)]]&lt;=4,"Low",IF(Table1[[#This Row],[Happiness_Index(1-10)]]&lt;=7,"Normal","High"))</f>
        <v>High</v>
      </c>
    </row>
    <row r="95" spans="1:14" x14ac:dyDescent="0.25">
      <c r="A95" t="s">
        <v>112</v>
      </c>
      <c r="B95">
        <v>20</v>
      </c>
      <c r="C95" t="s">
        <v>11</v>
      </c>
      <c r="D95">
        <v>3.6</v>
      </c>
      <c r="E95">
        <v>7</v>
      </c>
      <c r="F95">
        <v>7</v>
      </c>
      <c r="G95">
        <v>2</v>
      </c>
      <c r="H95">
        <v>1</v>
      </c>
      <c r="I95" t="s">
        <v>22</v>
      </c>
      <c r="J95">
        <v>8</v>
      </c>
      <c r="K95" t="str">
        <f t="shared" si="1"/>
        <v>15–25</v>
      </c>
      <c r="L95" t="str">
        <f>IF(Table1[[#This Row],[Daily_Screen_Time(hrs)]]&lt;=3,"Low",IF(Table1[[#This Row],[Daily_Screen_Time(hrs)]]&lt;=6,"Medium","High"))</f>
        <v>Medium</v>
      </c>
      <c r="M95" t="str">
        <f>IF(Table1[[#This Row],[Stress_Level(1-10)]]&lt;=4,"Low",IF(Table1[[#This Row],[Stress_Level(1-10)]]&lt;=7,"Medium","High"))</f>
        <v>Medium</v>
      </c>
      <c r="N95" t="str">
        <f>IF(Table1[[#This Row],[Happiness_Index(1-10)]]&lt;=4,"Low",IF(Table1[[#This Row],[Happiness_Index(1-10)]]&lt;=7,"Normal","High"))</f>
        <v>High</v>
      </c>
    </row>
    <row r="96" spans="1:14" x14ac:dyDescent="0.25">
      <c r="A96" t="s">
        <v>113</v>
      </c>
      <c r="B96">
        <v>41</v>
      </c>
      <c r="C96" t="s">
        <v>19</v>
      </c>
      <c r="D96">
        <v>1</v>
      </c>
      <c r="E96">
        <v>7</v>
      </c>
      <c r="F96">
        <v>5</v>
      </c>
      <c r="G96">
        <v>2</v>
      </c>
      <c r="H96">
        <v>6</v>
      </c>
      <c r="I96" t="s">
        <v>20</v>
      </c>
      <c r="J96">
        <v>10</v>
      </c>
      <c r="K96" t="str">
        <f t="shared" si="1"/>
        <v>36–45</v>
      </c>
      <c r="L96" t="str">
        <f>IF(Table1[[#This Row],[Daily_Screen_Time(hrs)]]&lt;=3,"Low",IF(Table1[[#This Row],[Daily_Screen_Time(hrs)]]&lt;=6,"Medium","High"))</f>
        <v>Low</v>
      </c>
      <c r="M96" t="str">
        <f>IF(Table1[[#This Row],[Stress_Level(1-10)]]&lt;=4,"Low",IF(Table1[[#This Row],[Stress_Level(1-10)]]&lt;=7,"Medium","High"))</f>
        <v>Medium</v>
      </c>
      <c r="N96" t="str">
        <f>IF(Table1[[#This Row],[Happiness_Index(1-10)]]&lt;=4,"Low",IF(Table1[[#This Row],[Happiness_Index(1-10)]]&lt;=7,"Normal","High"))</f>
        <v>High</v>
      </c>
    </row>
    <row r="97" spans="1:14" x14ac:dyDescent="0.25">
      <c r="A97" t="s">
        <v>114</v>
      </c>
      <c r="B97">
        <v>29</v>
      </c>
      <c r="C97" t="s">
        <v>11</v>
      </c>
      <c r="D97">
        <v>3.9</v>
      </c>
      <c r="E97">
        <v>7</v>
      </c>
      <c r="F97">
        <v>6</v>
      </c>
      <c r="G97">
        <v>2</v>
      </c>
      <c r="H97">
        <v>3</v>
      </c>
      <c r="I97" t="s">
        <v>20</v>
      </c>
      <c r="J97">
        <v>10</v>
      </c>
      <c r="K97" t="str">
        <f t="shared" si="1"/>
        <v>26–35</v>
      </c>
      <c r="L97" t="str">
        <f>IF(Table1[[#This Row],[Daily_Screen_Time(hrs)]]&lt;=3,"Low",IF(Table1[[#This Row],[Daily_Screen_Time(hrs)]]&lt;=6,"Medium","High"))</f>
        <v>Medium</v>
      </c>
      <c r="M97" t="str">
        <f>IF(Table1[[#This Row],[Stress_Level(1-10)]]&lt;=4,"Low",IF(Table1[[#This Row],[Stress_Level(1-10)]]&lt;=7,"Medium","High"))</f>
        <v>Medium</v>
      </c>
      <c r="N97" t="str">
        <f>IF(Table1[[#This Row],[Happiness_Index(1-10)]]&lt;=4,"Low",IF(Table1[[#This Row],[Happiness_Index(1-10)]]&lt;=7,"Normal","High"))</f>
        <v>High</v>
      </c>
    </row>
    <row r="98" spans="1:14" x14ac:dyDescent="0.25">
      <c r="A98" t="s">
        <v>115</v>
      </c>
      <c r="B98">
        <v>42</v>
      </c>
      <c r="C98" t="s">
        <v>11</v>
      </c>
      <c r="D98">
        <v>7.7</v>
      </c>
      <c r="E98">
        <v>4</v>
      </c>
      <c r="F98">
        <v>7</v>
      </c>
      <c r="G98">
        <v>2</v>
      </c>
      <c r="H98">
        <v>3</v>
      </c>
      <c r="I98" t="s">
        <v>12</v>
      </c>
      <c r="J98">
        <v>8</v>
      </c>
      <c r="K98" t="str">
        <f t="shared" si="1"/>
        <v>36–45</v>
      </c>
      <c r="L98" t="str">
        <f>IF(Table1[[#This Row],[Daily_Screen_Time(hrs)]]&lt;=3,"Low",IF(Table1[[#This Row],[Daily_Screen_Time(hrs)]]&lt;=6,"Medium","High"))</f>
        <v>High</v>
      </c>
      <c r="M98" t="str">
        <f>IF(Table1[[#This Row],[Stress_Level(1-10)]]&lt;=4,"Low",IF(Table1[[#This Row],[Stress_Level(1-10)]]&lt;=7,"Medium","High"))</f>
        <v>Medium</v>
      </c>
      <c r="N98" t="str">
        <f>IF(Table1[[#This Row],[Happiness_Index(1-10)]]&lt;=4,"Low",IF(Table1[[#This Row],[Happiness_Index(1-10)]]&lt;=7,"Normal","High"))</f>
        <v>High</v>
      </c>
    </row>
    <row r="99" spans="1:14" x14ac:dyDescent="0.25">
      <c r="A99" t="s">
        <v>116</v>
      </c>
      <c r="B99">
        <v>24</v>
      </c>
      <c r="C99" t="s">
        <v>19</v>
      </c>
      <c r="D99">
        <v>6.1</v>
      </c>
      <c r="E99">
        <v>4</v>
      </c>
      <c r="F99">
        <v>9</v>
      </c>
      <c r="G99">
        <v>0</v>
      </c>
      <c r="H99">
        <v>4</v>
      </c>
      <c r="I99" t="s">
        <v>12</v>
      </c>
      <c r="J99">
        <v>6</v>
      </c>
      <c r="K99" t="str">
        <f t="shared" si="1"/>
        <v>15–25</v>
      </c>
      <c r="L99" t="str">
        <f>IF(Table1[[#This Row],[Daily_Screen_Time(hrs)]]&lt;=3,"Low",IF(Table1[[#This Row],[Daily_Screen_Time(hrs)]]&lt;=6,"Medium","High"))</f>
        <v>High</v>
      </c>
      <c r="M99" t="str">
        <f>IF(Table1[[#This Row],[Stress_Level(1-10)]]&lt;=4,"Low",IF(Table1[[#This Row],[Stress_Level(1-10)]]&lt;=7,"Medium","High"))</f>
        <v>High</v>
      </c>
      <c r="N99" t="str">
        <f>IF(Table1[[#This Row],[Happiness_Index(1-10)]]&lt;=4,"Low",IF(Table1[[#This Row],[Happiness_Index(1-10)]]&lt;=7,"Normal","High"))</f>
        <v>Normal</v>
      </c>
    </row>
    <row r="100" spans="1:14" x14ac:dyDescent="0.25">
      <c r="A100" t="s">
        <v>117</v>
      </c>
      <c r="B100">
        <v>30</v>
      </c>
      <c r="C100" t="s">
        <v>19</v>
      </c>
      <c r="D100">
        <v>7.9</v>
      </c>
      <c r="E100">
        <v>5</v>
      </c>
      <c r="F100">
        <v>8</v>
      </c>
      <c r="G100">
        <v>0</v>
      </c>
      <c r="H100">
        <v>2</v>
      </c>
      <c r="I100" t="s">
        <v>15</v>
      </c>
      <c r="J100">
        <v>8</v>
      </c>
      <c r="K100" t="str">
        <f t="shared" si="1"/>
        <v>26–35</v>
      </c>
      <c r="L100" t="str">
        <f>IF(Table1[[#This Row],[Daily_Screen_Time(hrs)]]&lt;=3,"Low",IF(Table1[[#This Row],[Daily_Screen_Time(hrs)]]&lt;=6,"Medium","High"))</f>
        <v>High</v>
      </c>
      <c r="M100" t="str">
        <f>IF(Table1[[#This Row],[Stress_Level(1-10)]]&lt;=4,"Low",IF(Table1[[#This Row],[Stress_Level(1-10)]]&lt;=7,"Medium","High"))</f>
        <v>High</v>
      </c>
      <c r="N100" t="str">
        <f>IF(Table1[[#This Row],[Happiness_Index(1-10)]]&lt;=4,"Low",IF(Table1[[#This Row],[Happiness_Index(1-10)]]&lt;=7,"Normal","High"))</f>
        <v>High</v>
      </c>
    </row>
    <row r="101" spans="1:14" x14ac:dyDescent="0.25">
      <c r="A101" t="s">
        <v>118</v>
      </c>
      <c r="B101">
        <v>30</v>
      </c>
      <c r="C101" t="s">
        <v>19</v>
      </c>
      <c r="D101">
        <v>3.5</v>
      </c>
      <c r="E101">
        <v>8</v>
      </c>
      <c r="F101">
        <v>4</v>
      </c>
      <c r="G101">
        <v>3</v>
      </c>
      <c r="H101">
        <v>3</v>
      </c>
      <c r="I101" t="s">
        <v>12</v>
      </c>
      <c r="J101">
        <v>10</v>
      </c>
      <c r="K101" t="str">
        <f t="shared" si="1"/>
        <v>26–35</v>
      </c>
      <c r="L101" t="str">
        <f>IF(Table1[[#This Row],[Daily_Screen_Time(hrs)]]&lt;=3,"Low",IF(Table1[[#This Row],[Daily_Screen_Time(hrs)]]&lt;=6,"Medium","High"))</f>
        <v>Medium</v>
      </c>
      <c r="M101" t="str">
        <f>IF(Table1[[#This Row],[Stress_Level(1-10)]]&lt;=4,"Low",IF(Table1[[#This Row],[Stress_Level(1-10)]]&lt;=7,"Medium","High"))</f>
        <v>Low</v>
      </c>
      <c r="N101" t="str">
        <f>IF(Table1[[#This Row],[Happiness_Index(1-10)]]&lt;=4,"Low",IF(Table1[[#This Row],[Happiness_Index(1-10)]]&lt;=7,"Normal","High"))</f>
        <v>High</v>
      </c>
    </row>
    <row r="102" spans="1:14" x14ac:dyDescent="0.25">
      <c r="A102" t="s">
        <v>119</v>
      </c>
      <c r="B102">
        <v>41</v>
      </c>
      <c r="C102" t="s">
        <v>11</v>
      </c>
      <c r="D102">
        <v>2.5</v>
      </c>
      <c r="E102">
        <v>9</v>
      </c>
      <c r="F102">
        <v>4</v>
      </c>
      <c r="G102">
        <v>6</v>
      </c>
      <c r="H102">
        <v>3</v>
      </c>
      <c r="I102" t="s">
        <v>26</v>
      </c>
      <c r="J102">
        <v>10</v>
      </c>
      <c r="K102" t="str">
        <f t="shared" si="1"/>
        <v>36–45</v>
      </c>
      <c r="L102" t="str">
        <f>IF(Table1[[#This Row],[Daily_Screen_Time(hrs)]]&lt;=3,"Low",IF(Table1[[#This Row],[Daily_Screen_Time(hrs)]]&lt;=6,"Medium","High"))</f>
        <v>Low</v>
      </c>
      <c r="M102" t="str">
        <f>IF(Table1[[#This Row],[Stress_Level(1-10)]]&lt;=4,"Low",IF(Table1[[#This Row],[Stress_Level(1-10)]]&lt;=7,"Medium","High"))</f>
        <v>Low</v>
      </c>
      <c r="N102" t="str">
        <f>IF(Table1[[#This Row],[Happiness_Index(1-10)]]&lt;=4,"Low",IF(Table1[[#This Row],[Happiness_Index(1-10)]]&lt;=7,"Normal","High"))</f>
        <v>High</v>
      </c>
    </row>
    <row r="103" spans="1:14" x14ac:dyDescent="0.25">
      <c r="A103" t="s">
        <v>120</v>
      </c>
      <c r="B103">
        <v>28</v>
      </c>
      <c r="C103" t="s">
        <v>11</v>
      </c>
      <c r="D103">
        <v>6.3</v>
      </c>
      <c r="E103">
        <v>5</v>
      </c>
      <c r="F103">
        <v>7</v>
      </c>
      <c r="G103">
        <v>2</v>
      </c>
      <c r="H103">
        <v>2</v>
      </c>
      <c r="I103" t="s">
        <v>12</v>
      </c>
      <c r="J103">
        <v>7</v>
      </c>
      <c r="K103" t="str">
        <f t="shared" si="1"/>
        <v>26–35</v>
      </c>
      <c r="L103" t="str">
        <f>IF(Table1[[#This Row],[Daily_Screen_Time(hrs)]]&lt;=3,"Low",IF(Table1[[#This Row],[Daily_Screen_Time(hrs)]]&lt;=6,"Medium","High"))</f>
        <v>High</v>
      </c>
      <c r="M103" t="str">
        <f>IF(Table1[[#This Row],[Stress_Level(1-10)]]&lt;=4,"Low",IF(Table1[[#This Row],[Stress_Level(1-10)]]&lt;=7,"Medium","High"))</f>
        <v>Medium</v>
      </c>
      <c r="N103" t="str">
        <f>IF(Table1[[#This Row],[Happiness_Index(1-10)]]&lt;=4,"Low",IF(Table1[[#This Row],[Happiness_Index(1-10)]]&lt;=7,"Normal","High"))</f>
        <v>Normal</v>
      </c>
    </row>
    <row r="104" spans="1:14" x14ac:dyDescent="0.25">
      <c r="A104" t="s">
        <v>121</v>
      </c>
      <c r="B104">
        <v>47</v>
      </c>
      <c r="C104" t="s">
        <v>11</v>
      </c>
      <c r="D104">
        <v>5.9</v>
      </c>
      <c r="E104">
        <v>4</v>
      </c>
      <c r="F104">
        <v>7</v>
      </c>
      <c r="G104">
        <v>2</v>
      </c>
      <c r="H104">
        <v>4</v>
      </c>
      <c r="I104" t="s">
        <v>26</v>
      </c>
      <c r="J104">
        <v>7</v>
      </c>
      <c r="K104" t="str">
        <f t="shared" si="1"/>
        <v>46+</v>
      </c>
      <c r="L104" t="str">
        <f>IF(Table1[[#This Row],[Daily_Screen_Time(hrs)]]&lt;=3,"Low",IF(Table1[[#This Row],[Daily_Screen_Time(hrs)]]&lt;=6,"Medium","High"))</f>
        <v>Medium</v>
      </c>
      <c r="M104" t="str">
        <f>IF(Table1[[#This Row],[Stress_Level(1-10)]]&lt;=4,"Low",IF(Table1[[#This Row],[Stress_Level(1-10)]]&lt;=7,"Medium","High"))</f>
        <v>Medium</v>
      </c>
      <c r="N104" t="str">
        <f>IF(Table1[[#This Row],[Happiness_Index(1-10)]]&lt;=4,"Low",IF(Table1[[#This Row],[Happiness_Index(1-10)]]&lt;=7,"Normal","High"))</f>
        <v>Normal</v>
      </c>
    </row>
    <row r="105" spans="1:14" x14ac:dyDescent="0.25">
      <c r="A105" t="s">
        <v>122</v>
      </c>
      <c r="B105">
        <v>47</v>
      </c>
      <c r="C105" t="s">
        <v>11</v>
      </c>
      <c r="D105">
        <v>6</v>
      </c>
      <c r="E105">
        <v>6</v>
      </c>
      <c r="F105">
        <v>7</v>
      </c>
      <c r="G105">
        <v>6</v>
      </c>
      <c r="H105">
        <v>2</v>
      </c>
      <c r="I105" t="s">
        <v>12</v>
      </c>
      <c r="J105">
        <v>9</v>
      </c>
      <c r="K105" t="str">
        <f t="shared" si="1"/>
        <v>46+</v>
      </c>
      <c r="L105" t="str">
        <f>IF(Table1[[#This Row],[Daily_Screen_Time(hrs)]]&lt;=3,"Low",IF(Table1[[#This Row],[Daily_Screen_Time(hrs)]]&lt;=6,"Medium","High"))</f>
        <v>Medium</v>
      </c>
      <c r="M105" t="str">
        <f>IF(Table1[[#This Row],[Stress_Level(1-10)]]&lt;=4,"Low",IF(Table1[[#This Row],[Stress_Level(1-10)]]&lt;=7,"Medium","High"))</f>
        <v>Medium</v>
      </c>
      <c r="N105" t="str">
        <f>IF(Table1[[#This Row],[Happiness_Index(1-10)]]&lt;=4,"Low",IF(Table1[[#This Row],[Happiness_Index(1-10)]]&lt;=7,"Normal","High"))</f>
        <v>High</v>
      </c>
    </row>
    <row r="106" spans="1:14" x14ac:dyDescent="0.25">
      <c r="A106" t="s">
        <v>123</v>
      </c>
      <c r="B106">
        <v>19</v>
      </c>
      <c r="C106" t="s">
        <v>11</v>
      </c>
      <c r="D106">
        <v>7.2</v>
      </c>
      <c r="E106">
        <v>5</v>
      </c>
      <c r="F106">
        <v>6</v>
      </c>
      <c r="G106">
        <v>1</v>
      </c>
      <c r="H106">
        <v>0</v>
      </c>
      <c r="I106" t="s">
        <v>15</v>
      </c>
      <c r="J106">
        <v>9</v>
      </c>
      <c r="K106" t="str">
        <f t="shared" si="1"/>
        <v>15–25</v>
      </c>
      <c r="L106" t="str">
        <f>IF(Table1[[#This Row],[Daily_Screen_Time(hrs)]]&lt;=3,"Low",IF(Table1[[#This Row],[Daily_Screen_Time(hrs)]]&lt;=6,"Medium","High"))</f>
        <v>High</v>
      </c>
      <c r="M106" t="str">
        <f>IF(Table1[[#This Row],[Stress_Level(1-10)]]&lt;=4,"Low",IF(Table1[[#This Row],[Stress_Level(1-10)]]&lt;=7,"Medium","High"))</f>
        <v>Medium</v>
      </c>
      <c r="N106" t="str">
        <f>IF(Table1[[#This Row],[Happiness_Index(1-10)]]&lt;=4,"Low",IF(Table1[[#This Row],[Happiness_Index(1-10)]]&lt;=7,"Normal","High"))</f>
        <v>High</v>
      </c>
    </row>
    <row r="107" spans="1:14" x14ac:dyDescent="0.25">
      <c r="A107" t="s">
        <v>124</v>
      </c>
      <c r="B107">
        <v>45</v>
      </c>
      <c r="C107" t="s">
        <v>11</v>
      </c>
      <c r="D107">
        <v>6.3</v>
      </c>
      <c r="E107">
        <v>7</v>
      </c>
      <c r="F107">
        <v>8</v>
      </c>
      <c r="G107">
        <v>0</v>
      </c>
      <c r="H107">
        <v>2</v>
      </c>
      <c r="I107" t="s">
        <v>15</v>
      </c>
      <c r="J107">
        <v>6</v>
      </c>
      <c r="K107" t="str">
        <f t="shared" si="1"/>
        <v>36–45</v>
      </c>
      <c r="L107" t="str">
        <f>IF(Table1[[#This Row],[Daily_Screen_Time(hrs)]]&lt;=3,"Low",IF(Table1[[#This Row],[Daily_Screen_Time(hrs)]]&lt;=6,"Medium","High"))</f>
        <v>High</v>
      </c>
      <c r="M107" t="str">
        <f>IF(Table1[[#This Row],[Stress_Level(1-10)]]&lt;=4,"Low",IF(Table1[[#This Row],[Stress_Level(1-10)]]&lt;=7,"Medium","High"))</f>
        <v>High</v>
      </c>
      <c r="N107" t="str">
        <f>IF(Table1[[#This Row],[Happiness_Index(1-10)]]&lt;=4,"Low",IF(Table1[[#This Row],[Happiness_Index(1-10)]]&lt;=7,"Normal","High"))</f>
        <v>Normal</v>
      </c>
    </row>
    <row r="108" spans="1:14" x14ac:dyDescent="0.25">
      <c r="A108" t="s">
        <v>125</v>
      </c>
      <c r="B108">
        <v>38</v>
      </c>
      <c r="C108" t="s">
        <v>11</v>
      </c>
      <c r="D108">
        <v>6.2</v>
      </c>
      <c r="E108">
        <v>7</v>
      </c>
      <c r="F108">
        <v>7</v>
      </c>
      <c r="G108">
        <v>1</v>
      </c>
      <c r="H108">
        <v>3</v>
      </c>
      <c r="I108" t="s">
        <v>26</v>
      </c>
      <c r="J108">
        <v>9</v>
      </c>
      <c r="K108" t="str">
        <f t="shared" si="1"/>
        <v>36–45</v>
      </c>
      <c r="L108" t="str">
        <f>IF(Table1[[#This Row],[Daily_Screen_Time(hrs)]]&lt;=3,"Low",IF(Table1[[#This Row],[Daily_Screen_Time(hrs)]]&lt;=6,"Medium","High"))</f>
        <v>High</v>
      </c>
      <c r="M108" t="str">
        <f>IF(Table1[[#This Row],[Stress_Level(1-10)]]&lt;=4,"Low",IF(Table1[[#This Row],[Stress_Level(1-10)]]&lt;=7,"Medium","High"))</f>
        <v>Medium</v>
      </c>
      <c r="N108" t="str">
        <f>IF(Table1[[#This Row],[Happiness_Index(1-10)]]&lt;=4,"Low",IF(Table1[[#This Row],[Happiness_Index(1-10)]]&lt;=7,"Normal","High"))</f>
        <v>High</v>
      </c>
    </row>
    <row r="109" spans="1:14" x14ac:dyDescent="0.25">
      <c r="A109" t="s">
        <v>126</v>
      </c>
      <c r="B109">
        <v>30</v>
      </c>
      <c r="C109" t="s">
        <v>11</v>
      </c>
      <c r="D109">
        <v>6.8</v>
      </c>
      <c r="E109">
        <v>7</v>
      </c>
      <c r="F109">
        <v>7</v>
      </c>
      <c r="G109">
        <v>2</v>
      </c>
      <c r="H109">
        <v>1</v>
      </c>
      <c r="I109" t="s">
        <v>22</v>
      </c>
      <c r="J109">
        <v>10</v>
      </c>
      <c r="K109" t="str">
        <f t="shared" si="1"/>
        <v>26–35</v>
      </c>
      <c r="L109" t="str">
        <f>IF(Table1[[#This Row],[Daily_Screen_Time(hrs)]]&lt;=3,"Low",IF(Table1[[#This Row],[Daily_Screen_Time(hrs)]]&lt;=6,"Medium","High"))</f>
        <v>High</v>
      </c>
      <c r="M109" t="str">
        <f>IF(Table1[[#This Row],[Stress_Level(1-10)]]&lt;=4,"Low",IF(Table1[[#This Row],[Stress_Level(1-10)]]&lt;=7,"Medium","High"))</f>
        <v>Medium</v>
      </c>
      <c r="N109" t="str">
        <f>IF(Table1[[#This Row],[Happiness_Index(1-10)]]&lt;=4,"Low",IF(Table1[[#This Row],[Happiness_Index(1-10)]]&lt;=7,"Normal","High"))</f>
        <v>High</v>
      </c>
    </row>
    <row r="110" spans="1:14" x14ac:dyDescent="0.25">
      <c r="A110" t="s">
        <v>127</v>
      </c>
      <c r="B110">
        <v>44</v>
      </c>
      <c r="C110" t="s">
        <v>11</v>
      </c>
      <c r="D110">
        <v>6.4</v>
      </c>
      <c r="E110">
        <v>6</v>
      </c>
      <c r="F110">
        <v>8</v>
      </c>
      <c r="G110">
        <v>0</v>
      </c>
      <c r="H110">
        <v>1</v>
      </c>
      <c r="I110" t="s">
        <v>15</v>
      </c>
      <c r="J110">
        <v>7</v>
      </c>
      <c r="K110" t="str">
        <f t="shared" si="1"/>
        <v>36–45</v>
      </c>
      <c r="L110" t="str">
        <f>IF(Table1[[#This Row],[Daily_Screen_Time(hrs)]]&lt;=3,"Low",IF(Table1[[#This Row],[Daily_Screen_Time(hrs)]]&lt;=6,"Medium","High"))</f>
        <v>High</v>
      </c>
      <c r="M110" t="str">
        <f>IF(Table1[[#This Row],[Stress_Level(1-10)]]&lt;=4,"Low",IF(Table1[[#This Row],[Stress_Level(1-10)]]&lt;=7,"Medium","High"))</f>
        <v>High</v>
      </c>
      <c r="N110" t="str">
        <f>IF(Table1[[#This Row],[Happiness_Index(1-10)]]&lt;=4,"Low",IF(Table1[[#This Row],[Happiness_Index(1-10)]]&lt;=7,"Normal","High"))</f>
        <v>Normal</v>
      </c>
    </row>
    <row r="111" spans="1:14" x14ac:dyDescent="0.25">
      <c r="A111" t="s">
        <v>128</v>
      </c>
      <c r="B111">
        <v>28</v>
      </c>
      <c r="C111" t="s">
        <v>11</v>
      </c>
      <c r="D111">
        <v>7</v>
      </c>
      <c r="E111">
        <v>6</v>
      </c>
      <c r="F111">
        <v>6</v>
      </c>
      <c r="G111">
        <v>3</v>
      </c>
      <c r="H111">
        <v>2</v>
      </c>
      <c r="I111" t="s">
        <v>22</v>
      </c>
      <c r="J111">
        <v>8</v>
      </c>
      <c r="K111" t="str">
        <f t="shared" si="1"/>
        <v>26–35</v>
      </c>
      <c r="L111" t="str">
        <f>IF(Table1[[#This Row],[Daily_Screen_Time(hrs)]]&lt;=3,"Low",IF(Table1[[#This Row],[Daily_Screen_Time(hrs)]]&lt;=6,"Medium","High"))</f>
        <v>High</v>
      </c>
      <c r="M111" t="str">
        <f>IF(Table1[[#This Row],[Stress_Level(1-10)]]&lt;=4,"Low",IF(Table1[[#This Row],[Stress_Level(1-10)]]&lt;=7,"Medium","High"))</f>
        <v>Medium</v>
      </c>
      <c r="N111" t="str">
        <f>IF(Table1[[#This Row],[Happiness_Index(1-10)]]&lt;=4,"Low",IF(Table1[[#This Row],[Happiness_Index(1-10)]]&lt;=7,"Normal","High"))</f>
        <v>High</v>
      </c>
    </row>
    <row r="112" spans="1:14" x14ac:dyDescent="0.25">
      <c r="A112" t="s">
        <v>129</v>
      </c>
      <c r="B112">
        <v>47</v>
      </c>
      <c r="C112" t="s">
        <v>11</v>
      </c>
      <c r="D112">
        <v>7.3</v>
      </c>
      <c r="E112">
        <v>4</v>
      </c>
      <c r="F112">
        <v>6</v>
      </c>
      <c r="G112">
        <v>5</v>
      </c>
      <c r="H112">
        <v>4</v>
      </c>
      <c r="I112" t="s">
        <v>20</v>
      </c>
      <c r="J112">
        <v>8</v>
      </c>
      <c r="K112" t="str">
        <f t="shared" si="1"/>
        <v>46+</v>
      </c>
      <c r="L112" t="str">
        <f>IF(Table1[[#This Row],[Daily_Screen_Time(hrs)]]&lt;=3,"Low",IF(Table1[[#This Row],[Daily_Screen_Time(hrs)]]&lt;=6,"Medium","High"))</f>
        <v>High</v>
      </c>
      <c r="M112" t="str">
        <f>IF(Table1[[#This Row],[Stress_Level(1-10)]]&lt;=4,"Low",IF(Table1[[#This Row],[Stress_Level(1-10)]]&lt;=7,"Medium","High"))</f>
        <v>Medium</v>
      </c>
      <c r="N112" t="str">
        <f>IF(Table1[[#This Row],[Happiness_Index(1-10)]]&lt;=4,"Low",IF(Table1[[#This Row],[Happiness_Index(1-10)]]&lt;=7,"Normal","High"))</f>
        <v>High</v>
      </c>
    </row>
    <row r="113" spans="1:14" x14ac:dyDescent="0.25">
      <c r="A113" t="s">
        <v>130</v>
      </c>
      <c r="B113">
        <v>22</v>
      </c>
      <c r="C113" t="s">
        <v>19</v>
      </c>
      <c r="D113">
        <v>8.3000000000000007</v>
      </c>
      <c r="E113">
        <v>5</v>
      </c>
      <c r="F113">
        <v>10</v>
      </c>
      <c r="G113">
        <v>0</v>
      </c>
      <c r="H113">
        <v>2</v>
      </c>
      <c r="I113" t="s">
        <v>26</v>
      </c>
      <c r="J113">
        <v>6</v>
      </c>
      <c r="K113" t="str">
        <f t="shared" si="1"/>
        <v>15–25</v>
      </c>
      <c r="L113" t="str">
        <f>IF(Table1[[#This Row],[Daily_Screen_Time(hrs)]]&lt;=3,"Low",IF(Table1[[#This Row],[Daily_Screen_Time(hrs)]]&lt;=6,"Medium","High"))</f>
        <v>High</v>
      </c>
      <c r="M113" t="str">
        <f>IF(Table1[[#This Row],[Stress_Level(1-10)]]&lt;=4,"Low",IF(Table1[[#This Row],[Stress_Level(1-10)]]&lt;=7,"Medium","High"))</f>
        <v>High</v>
      </c>
      <c r="N113" t="str">
        <f>IF(Table1[[#This Row],[Happiness_Index(1-10)]]&lt;=4,"Low",IF(Table1[[#This Row],[Happiness_Index(1-10)]]&lt;=7,"Normal","High"))</f>
        <v>Normal</v>
      </c>
    </row>
    <row r="114" spans="1:14" x14ac:dyDescent="0.25">
      <c r="A114" t="s">
        <v>131</v>
      </c>
      <c r="B114">
        <v>37</v>
      </c>
      <c r="C114" t="s">
        <v>19</v>
      </c>
      <c r="D114">
        <v>4.3</v>
      </c>
      <c r="E114">
        <v>6</v>
      </c>
      <c r="F114">
        <v>8</v>
      </c>
      <c r="G114">
        <v>3</v>
      </c>
      <c r="H114">
        <v>5</v>
      </c>
      <c r="I114" t="s">
        <v>15</v>
      </c>
      <c r="J114">
        <v>9</v>
      </c>
      <c r="K114" t="str">
        <f t="shared" si="1"/>
        <v>36–45</v>
      </c>
      <c r="L114" t="str">
        <f>IF(Table1[[#This Row],[Daily_Screen_Time(hrs)]]&lt;=3,"Low",IF(Table1[[#This Row],[Daily_Screen_Time(hrs)]]&lt;=6,"Medium","High"))</f>
        <v>Medium</v>
      </c>
      <c r="M114" t="str">
        <f>IF(Table1[[#This Row],[Stress_Level(1-10)]]&lt;=4,"Low",IF(Table1[[#This Row],[Stress_Level(1-10)]]&lt;=7,"Medium","High"))</f>
        <v>High</v>
      </c>
      <c r="N114" t="str">
        <f>IF(Table1[[#This Row],[Happiness_Index(1-10)]]&lt;=4,"Low",IF(Table1[[#This Row],[Happiness_Index(1-10)]]&lt;=7,"Normal","High"))</f>
        <v>High</v>
      </c>
    </row>
    <row r="115" spans="1:14" x14ac:dyDescent="0.25">
      <c r="A115" t="s">
        <v>132</v>
      </c>
      <c r="B115">
        <v>43</v>
      </c>
      <c r="C115" t="s">
        <v>11</v>
      </c>
      <c r="D115">
        <v>6.4</v>
      </c>
      <c r="E115">
        <v>6</v>
      </c>
      <c r="F115">
        <v>7</v>
      </c>
      <c r="G115">
        <v>4</v>
      </c>
      <c r="H115">
        <v>2</v>
      </c>
      <c r="I115" t="s">
        <v>17</v>
      </c>
      <c r="J115">
        <v>7</v>
      </c>
      <c r="K115" t="str">
        <f t="shared" si="1"/>
        <v>36–45</v>
      </c>
      <c r="L115" t="str">
        <f>IF(Table1[[#This Row],[Daily_Screen_Time(hrs)]]&lt;=3,"Low",IF(Table1[[#This Row],[Daily_Screen_Time(hrs)]]&lt;=6,"Medium","High"))</f>
        <v>High</v>
      </c>
      <c r="M115" t="str">
        <f>IF(Table1[[#This Row],[Stress_Level(1-10)]]&lt;=4,"Low",IF(Table1[[#This Row],[Stress_Level(1-10)]]&lt;=7,"Medium","High"))</f>
        <v>Medium</v>
      </c>
      <c r="N115" t="str">
        <f>IF(Table1[[#This Row],[Happiness_Index(1-10)]]&lt;=4,"Low",IF(Table1[[#This Row],[Happiness_Index(1-10)]]&lt;=7,"Normal","High"))</f>
        <v>Normal</v>
      </c>
    </row>
    <row r="116" spans="1:14" x14ac:dyDescent="0.25">
      <c r="A116" t="s">
        <v>133</v>
      </c>
      <c r="B116">
        <v>17</v>
      </c>
      <c r="C116" t="s">
        <v>19</v>
      </c>
      <c r="D116">
        <v>4.8</v>
      </c>
      <c r="E116">
        <v>7</v>
      </c>
      <c r="F116">
        <v>6</v>
      </c>
      <c r="G116">
        <v>3</v>
      </c>
      <c r="H116">
        <v>3</v>
      </c>
      <c r="I116" t="s">
        <v>20</v>
      </c>
      <c r="J116">
        <v>10</v>
      </c>
      <c r="K116" t="str">
        <f t="shared" si="1"/>
        <v>15–25</v>
      </c>
      <c r="L116" t="str">
        <f>IF(Table1[[#This Row],[Daily_Screen_Time(hrs)]]&lt;=3,"Low",IF(Table1[[#This Row],[Daily_Screen_Time(hrs)]]&lt;=6,"Medium","High"))</f>
        <v>Medium</v>
      </c>
      <c r="M116" t="str">
        <f>IF(Table1[[#This Row],[Stress_Level(1-10)]]&lt;=4,"Low",IF(Table1[[#This Row],[Stress_Level(1-10)]]&lt;=7,"Medium","High"))</f>
        <v>Medium</v>
      </c>
      <c r="N116" t="str">
        <f>IF(Table1[[#This Row],[Happiness_Index(1-10)]]&lt;=4,"Low",IF(Table1[[#This Row],[Happiness_Index(1-10)]]&lt;=7,"Normal","High"))</f>
        <v>High</v>
      </c>
    </row>
    <row r="117" spans="1:14" x14ac:dyDescent="0.25">
      <c r="A117" t="s">
        <v>134</v>
      </c>
      <c r="B117">
        <v>21</v>
      </c>
      <c r="C117" t="s">
        <v>19</v>
      </c>
      <c r="D117">
        <v>4</v>
      </c>
      <c r="E117">
        <v>9</v>
      </c>
      <c r="F117">
        <v>5</v>
      </c>
      <c r="G117">
        <v>3</v>
      </c>
      <c r="H117">
        <v>2</v>
      </c>
      <c r="I117" t="s">
        <v>22</v>
      </c>
      <c r="J117">
        <v>10</v>
      </c>
      <c r="K117" t="str">
        <f t="shared" si="1"/>
        <v>15–25</v>
      </c>
      <c r="L117" t="str">
        <f>IF(Table1[[#This Row],[Daily_Screen_Time(hrs)]]&lt;=3,"Low",IF(Table1[[#This Row],[Daily_Screen_Time(hrs)]]&lt;=6,"Medium","High"))</f>
        <v>Medium</v>
      </c>
      <c r="M117" t="str">
        <f>IF(Table1[[#This Row],[Stress_Level(1-10)]]&lt;=4,"Low",IF(Table1[[#This Row],[Stress_Level(1-10)]]&lt;=7,"Medium","High"))</f>
        <v>Medium</v>
      </c>
      <c r="N117" t="str">
        <f>IF(Table1[[#This Row],[Happiness_Index(1-10)]]&lt;=4,"Low",IF(Table1[[#This Row],[Happiness_Index(1-10)]]&lt;=7,"Normal","High"))</f>
        <v>High</v>
      </c>
    </row>
    <row r="118" spans="1:14" x14ac:dyDescent="0.25">
      <c r="A118" t="s">
        <v>135</v>
      </c>
      <c r="B118">
        <v>43</v>
      </c>
      <c r="C118" t="s">
        <v>11</v>
      </c>
      <c r="D118">
        <v>4.3</v>
      </c>
      <c r="E118">
        <v>7</v>
      </c>
      <c r="F118">
        <v>6</v>
      </c>
      <c r="G118">
        <v>3</v>
      </c>
      <c r="H118">
        <v>4</v>
      </c>
      <c r="I118" t="s">
        <v>15</v>
      </c>
      <c r="J118">
        <v>9</v>
      </c>
      <c r="K118" t="str">
        <f t="shared" si="1"/>
        <v>36–45</v>
      </c>
      <c r="L118" t="str">
        <f>IF(Table1[[#This Row],[Daily_Screen_Time(hrs)]]&lt;=3,"Low",IF(Table1[[#This Row],[Daily_Screen_Time(hrs)]]&lt;=6,"Medium","High"))</f>
        <v>Medium</v>
      </c>
      <c r="M118" t="str">
        <f>IF(Table1[[#This Row],[Stress_Level(1-10)]]&lt;=4,"Low",IF(Table1[[#This Row],[Stress_Level(1-10)]]&lt;=7,"Medium","High"))</f>
        <v>Medium</v>
      </c>
      <c r="N118" t="str">
        <f>IF(Table1[[#This Row],[Happiness_Index(1-10)]]&lt;=4,"Low",IF(Table1[[#This Row],[Happiness_Index(1-10)]]&lt;=7,"Normal","High"))</f>
        <v>High</v>
      </c>
    </row>
    <row r="119" spans="1:14" x14ac:dyDescent="0.25">
      <c r="A119" t="s">
        <v>136</v>
      </c>
      <c r="B119">
        <v>43</v>
      </c>
      <c r="C119" t="s">
        <v>19</v>
      </c>
      <c r="D119">
        <v>6.4</v>
      </c>
      <c r="E119">
        <v>6</v>
      </c>
      <c r="F119">
        <v>7</v>
      </c>
      <c r="G119">
        <v>1</v>
      </c>
      <c r="H119">
        <v>1</v>
      </c>
      <c r="I119" t="s">
        <v>26</v>
      </c>
      <c r="J119">
        <v>9</v>
      </c>
      <c r="K119" t="str">
        <f t="shared" si="1"/>
        <v>36–45</v>
      </c>
      <c r="L119" t="str">
        <f>IF(Table1[[#This Row],[Daily_Screen_Time(hrs)]]&lt;=3,"Low",IF(Table1[[#This Row],[Daily_Screen_Time(hrs)]]&lt;=6,"Medium","High"))</f>
        <v>High</v>
      </c>
      <c r="M119" t="str">
        <f>IF(Table1[[#This Row],[Stress_Level(1-10)]]&lt;=4,"Low",IF(Table1[[#This Row],[Stress_Level(1-10)]]&lt;=7,"Medium","High"))</f>
        <v>Medium</v>
      </c>
      <c r="N119" t="str">
        <f>IF(Table1[[#This Row],[Happiness_Index(1-10)]]&lt;=4,"Low",IF(Table1[[#This Row],[Happiness_Index(1-10)]]&lt;=7,"Normal","High"))</f>
        <v>High</v>
      </c>
    </row>
    <row r="120" spans="1:14" x14ac:dyDescent="0.25">
      <c r="A120" t="s">
        <v>137</v>
      </c>
      <c r="B120">
        <v>35</v>
      </c>
      <c r="C120" t="s">
        <v>19</v>
      </c>
      <c r="D120">
        <v>6.3</v>
      </c>
      <c r="E120">
        <v>6</v>
      </c>
      <c r="F120">
        <v>7</v>
      </c>
      <c r="G120">
        <v>6</v>
      </c>
      <c r="H120">
        <v>4</v>
      </c>
      <c r="I120" t="s">
        <v>12</v>
      </c>
      <c r="J120">
        <v>9</v>
      </c>
      <c r="K120" t="str">
        <f t="shared" si="1"/>
        <v>26–35</v>
      </c>
      <c r="L120" t="str">
        <f>IF(Table1[[#This Row],[Daily_Screen_Time(hrs)]]&lt;=3,"Low",IF(Table1[[#This Row],[Daily_Screen_Time(hrs)]]&lt;=6,"Medium","High"))</f>
        <v>High</v>
      </c>
      <c r="M120" t="str">
        <f>IF(Table1[[#This Row],[Stress_Level(1-10)]]&lt;=4,"Low",IF(Table1[[#This Row],[Stress_Level(1-10)]]&lt;=7,"Medium","High"))</f>
        <v>Medium</v>
      </c>
      <c r="N120" t="str">
        <f>IF(Table1[[#This Row],[Happiness_Index(1-10)]]&lt;=4,"Low",IF(Table1[[#This Row],[Happiness_Index(1-10)]]&lt;=7,"Normal","High"))</f>
        <v>High</v>
      </c>
    </row>
    <row r="121" spans="1:14" x14ac:dyDescent="0.25">
      <c r="A121" t="s">
        <v>138</v>
      </c>
      <c r="B121">
        <v>45</v>
      </c>
      <c r="C121" t="s">
        <v>11</v>
      </c>
      <c r="D121">
        <v>6.2</v>
      </c>
      <c r="E121">
        <v>5</v>
      </c>
      <c r="F121">
        <v>8</v>
      </c>
      <c r="G121">
        <v>5</v>
      </c>
      <c r="H121">
        <v>3</v>
      </c>
      <c r="I121" t="s">
        <v>17</v>
      </c>
      <c r="J121">
        <v>8</v>
      </c>
      <c r="K121" t="str">
        <f t="shared" si="1"/>
        <v>36–45</v>
      </c>
      <c r="L121" t="str">
        <f>IF(Table1[[#This Row],[Daily_Screen_Time(hrs)]]&lt;=3,"Low",IF(Table1[[#This Row],[Daily_Screen_Time(hrs)]]&lt;=6,"Medium","High"))</f>
        <v>High</v>
      </c>
      <c r="M121" t="str">
        <f>IF(Table1[[#This Row],[Stress_Level(1-10)]]&lt;=4,"Low",IF(Table1[[#This Row],[Stress_Level(1-10)]]&lt;=7,"Medium","High"))</f>
        <v>High</v>
      </c>
      <c r="N121" t="str">
        <f>IF(Table1[[#This Row],[Happiness_Index(1-10)]]&lt;=4,"Low",IF(Table1[[#This Row],[Happiness_Index(1-10)]]&lt;=7,"Normal","High"))</f>
        <v>High</v>
      </c>
    </row>
    <row r="122" spans="1:14" x14ac:dyDescent="0.25">
      <c r="A122" t="s">
        <v>139</v>
      </c>
      <c r="B122">
        <v>26</v>
      </c>
      <c r="C122" t="s">
        <v>11</v>
      </c>
      <c r="D122">
        <v>5.0999999999999996</v>
      </c>
      <c r="E122">
        <v>6</v>
      </c>
      <c r="F122">
        <v>5</v>
      </c>
      <c r="G122">
        <v>5</v>
      </c>
      <c r="H122">
        <v>2</v>
      </c>
      <c r="I122" t="s">
        <v>22</v>
      </c>
      <c r="J122">
        <v>9</v>
      </c>
      <c r="K122" t="str">
        <f t="shared" si="1"/>
        <v>26–35</v>
      </c>
      <c r="L122" t="str">
        <f>IF(Table1[[#This Row],[Daily_Screen_Time(hrs)]]&lt;=3,"Low",IF(Table1[[#This Row],[Daily_Screen_Time(hrs)]]&lt;=6,"Medium","High"))</f>
        <v>Medium</v>
      </c>
      <c r="M122" t="str">
        <f>IF(Table1[[#This Row],[Stress_Level(1-10)]]&lt;=4,"Low",IF(Table1[[#This Row],[Stress_Level(1-10)]]&lt;=7,"Medium","High"))</f>
        <v>Medium</v>
      </c>
      <c r="N122" t="str">
        <f>IF(Table1[[#This Row],[Happiness_Index(1-10)]]&lt;=4,"Low",IF(Table1[[#This Row],[Happiness_Index(1-10)]]&lt;=7,"Normal","High"))</f>
        <v>High</v>
      </c>
    </row>
    <row r="123" spans="1:14" x14ac:dyDescent="0.25">
      <c r="A123" t="s">
        <v>140</v>
      </c>
      <c r="B123">
        <v>43</v>
      </c>
      <c r="C123" t="s">
        <v>19</v>
      </c>
      <c r="D123">
        <v>5.5</v>
      </c>
      <c r="E123">
        <v>8</v>
      </c>
      <c r="F123">
        <v>6</v>
      </c>
      <c r="G123">
        <v>5</v>
      </c>
      <c r="H123">
        <v>2</v>
      </c>
      <c r="I123" t="s">
        <v>20</v>
      </c>
      <c r="J123">
        <v>10</v>
      </c>
      <c r="K123" t="str">
        <f t="shared" si="1"/>
        <v>36–45</v>
      </c>
      <c r="L123" t="str">
        <f>IF(Table1[[#This Row],[Daily_Screen_Time(hrs)]]&lt;=3,"Low",IF(Table1[[#This Row],[Daily_Screen_Time(hrs)]]&lt;=6,"Medium","High"))</f>
        <v>Medium</v>
      </c>
      <c r="M123" t="str">
        <f>IF(Table1[[#This Row],[Stress_Level(1-10)]]&lt;=4,"Low",IF(Table1[[#This Row],[Stress_Level(1-10)]]&lt;=7,"Medium","High"))</f>
        <v>Medium</v>
      </c>
      <c r="N123" t="str">
        <f>IF(Table1[[#This Row],[Happiness_Index(1-10)]]&lt;=4,"Low",IF(Table1[[#This Row],[Happiness_Index(1-10)]]&lt;=7,"Normal","High"))</f>
        <v>High</v>
      </c>
    </row>
    <row r="124" spans="1:14" x14ac:dyDescent="0.25">
      <c r="A124" t="s">
        <v>141</v>
      </c>
      <c r="B124">
        <v>40</v>
      </c>
      <c r="C124" t="s">
        <v>19</v>
      </c>
      <c r="D124">
        <v>7</v>
      </c>
      <c r="E124">
        <v>4</v>
      </c>
      <c r="F124">
        <v>6</v>
      </c>
      <c r="G124">
        <v>0</v>
      </c>
      <c r="H124">
        <v>5</v>
      </c>
      <c r="I124" t="s">
        <v>26</v>
      </c>
      <c r="J124">
        <v>8</v>
      </c>
      <c r="K124" t="str">
        <f t="shared" si="1"/>
        <v>36–45</v>
      </c>
      <c r="L124" t="str">
        <f>IF(Table1[[#This Row],[Daily_Screen_Time(hrs)]]&lt;=3,"Low",IF(Table1[[#This Row],[Daily_Screen_Time(hrs)]]&lt;=6,"Medium","High"))</f>
        <v>High</v>
      </c>
      <c r="M124" t="str">
        <f>IF(Table1[[#This Row],[Stress_Level(1-10)]]&lt;=4,"Low",IF(Table1[[#This Row],[Stress_Level(1-10)]]&lt;=7,"Medium","High"))</f>
        <v>Medium</v>
      </c>
      <c r="N124" t="str">
        <f>IF(Table1[[#This Row],[Happiness_Index(1-10)]]&lt;=4,"Low",IF(Table1[[#This Row],[Happiness_Index(1-10)]]&lt;=7,"Normal","High"))</f>
        <v>High</v>
      </c>
    </row>
    <row r="125" spans="1:14" x14ac:dyDescent="0.25">
      <c r="A125" t="s">
        <v>142</v>
      </c>
      <c r="B125">
        <v>48</v>
      </c>
      <c r="C125" t="s">
        <v>11</v>
      </c>
      <c r="D125">
        <v>2.8</v>
      </c>
      <c r="E125">
        <v>7</v>
      </c>
      <c r="F125">
        <v>5</v>
      </c>
      <c r="G125">
        <v>5</v>
      </c>
      <c r="H125">
        <v>3</v>
      </c>
      <c r="I125" t="s">
        <v>17</v>
      </c>
      <c r="J125">
        <v>10</v>
      </c>
      <c r="K125" t="str">
        <f t="shared" si="1"/>
        <v>46+</v>
      </c>
      <c r="L125" t="str">
        <f>IF(Table1[[#This Row],[Daily_Screen_Time(hrs)]]&lt;=3,"Low",IF(Table1[[#This Row],[Daily_Screen_Time(hrs)]]&lt;=6,"Medium","High"))</f>
        <v>Low</v>
      </c>
      <c r="M125" t="str">
        <f>IF(Table1[[#This Row],[Stress_Level(1-10)]]&lt;=4,"Low",IF(Table1[[#This Row],[Stress_Level(1-10)]]&lt;=7,"Medium","High"))</f>
        <v>Medium</v>
      </c>
      <c r="N125" t="str">
        <f>IF(Table1[[#This Row],[Happiness_Index(1-10)]]&lt;=4,"Low",IF(Table1[[#This Row],[Happiness_Index(1-10)]]&lt;=7,"Normal","High"))</f>
        <v>High</v>
      </c>
    </row>
    <row r="126" spans="1:14" x14ac:dyDescent="0.25">
      <c r="A126" t="s">
        <v>143</v>
      </c>
      <c r="B126">
        <v>16</v>
      </c>
      <c r="C126" t="s">
        <v>11</v>
      </c>
      <c r="D126">
        <v>5.5</v>
      </c>
      <c r="E126">
        <v>7</v>
      </c>
      <c r="F126">
        <v>7</v>
      </c>
      <c r="G126">
        <v>4</v>
      </c>
      <c r="H126">
        <v>1</v>
      </c>
      <c r="I126" t="s">
        <v>26</v>
      </c>
      <c r="J126">
        <v>9</v>
      </c>
      <c r="K126" t="str">
        <f t="shared" si="1"/>
        <v>15–25</v>
      </c>
      <c r="L126" t="str">
        <f>IF(Table1[[#This Row],[Daily_Screen_Time(hrs)]]&lt;=3,"Low",IF(Table1[[#This Row],[Daily_Screen_Time(hrs)]]&lt;=6,"Medium","High"))</f>
        <v>Medium</v>
      </c>
      <c r="M126" t="str">
        <f>IF(Table1[[#This Row],[Stress_Level(1-10)]]&lt;=4,"Low",IF(Table1[[#This Row],[Stress_Level(1-10)]]&lt;=7,"Medium","High"))</f>
        <v>Medium</v>
      </c>
      <c r="N126" t="str">
        <f>IF(Table1[[#This Row],[Happiness_Index(1-10)]]&lt;=4,"Low",IF(Table1[[#This Row],[Happiness_Index(1-10)]]&lt;=7,"Normal","High"))</f>
        <v>High</v>
      </c>
    </row>
    <row r="127" spans="1:14" x14ac:dyDescent="0.25">
      <c r="A127" t="s">
        <v>144</v>
      </c>
      <c r="B127">
        <v>42</v>
      </c>
      <c r="C127" t="s">
        <v>11</v>
      </c>
      <c r="D127">
        <v>5.7</v>
      </c>
      <c r="E127">
        <v>7</v>
      </c>
      <c r="F127">
        <v>7</v>
      </c>
      <c r="G127">
        <v>0</v>
      </c>
      <c r="H127">
        <v>1</v>
      </c>
      <c r="I127" t="s">
        <v>15</v>
      </c>
      <c r="J127">
        <v>9</v>
      </c>
      <c r="K127" t="str">
        <f t="shared" si="1"/>
        <v>36–45</v>
      </c>
      <c r="L127" t="str">
        <f>IF(Table1[[#This Row],[Daily_Screen_Time(hrs)]]&lt;=3,"Low",IF(Table1[[#This Row],[Daily_Screen_Time(hrs)]]&lt;=6,"Medium","High"))</f>
        <v>Medium</v>
      </c>
      <c r="M127" t="str">
        <f>IF(Table1[[#This Row],[Stress_Level(1-10)]]&lt;=4,"Low",IF(Table1[[#This Row],[Stress_Level(1-10)]]&lt;=7,"Medium","High"))</f>
        <v>Medium</v>
      </c>
      <c r="N127" t="str">
        <f>IF(Table1[[#This Row],[Happiness_Index(1-10)]]&lt;=4,"Low",IF(Table1[[#This Row],[Happiness_Index(1-10)]]&lt;=7,"Normal","High"))</f>
        <v>High</v>
      </c>
    </row>
    <row r="128" spans="1:14" x14ac:dyDescent="0.25">
      <c r="A128" t="s">
        <v>145</v>
      </c>
      <c r="B128">
        <v>28</v>
      </c>
      <c r="C128" t="s">
        <v>19</v>
      </c>
      <c r="D128">
        <v>6.9</v>
      </c>
      <c r="E128">
        <v>5</v>
      </c>
      <c r="F128">
        <v>8</v>
      </c>
      <c r="G128">
        <v>3</v>
      </c>
      <c r="H128">
        <v>3</v>
      </c>
      <c r="I128" t="s">
        <v>12</v>
      </c>
      <c r="J128">
        <v>8</v>
      </c>
      <c r="K128" t="str">
        <f t="shared" si="1"/>
        <v>26–35</v>
      </c>
      <c r="L128" t="str">
        <f>IF(Table1[[#This Row],[Daily_Screen_Time(hrs)]]&lt;=3,"Low",IF(Table1[[#This Row],[Daily_Screen_Time(hrs)]]&lt;=6,"Medium","High"))</f>
        <v>High</v>
      </c>
      <c r="M128" t="str">
        <f>IF(Table1[[#This Row],[Stress_Level(1-10)]]&lt;=4,"Low",IF(Table1[[#This Row],[Stress_Level(1-10)]]&lt;=7,"Medium","High"))</f>
        <v>High</v>
      </c>
      <c r="N128" t="str">
        <f>IF(Table1[[#This Row],[Happiness_Index(1-10)]]&lt;=4,"Low",IF(Table1[[#This Row],[Happiness_Index(1-10)]]&lt;=7,"Normal","High"))</f>
        <v>High</v>
      </c>
    </row>
    <row r="129" spans="1:14" x14ac:dyDescent="0.25">
      <c r="A129" t="s">
        <v>146</v>
      </c>
      <c r="B129">
        <v>18</v>
      </c>
      <c r="C129" t="s">
        <v>19</v>
      </c>
      <c r="D129">
        <v>3.1</v>
      </c>
      <c r="E129">
        <v>7</v>
      </c>
      <c r="F129">
        <v>6</v>
      </c>
      <c r="G129">
        <v>4</v>
      </c>
      <c r="H129">
        <v>3</v>
      </c>
      <c r="I129" t="s">
        <v>20</v>
      </c>
      <c r="J129">
        <v>9</v>
      </c>
      <c r="K129" t="str">
        <f t="shared" si="1"/>
        <v>15–25</v>
      </c>
      <c r="L129" t="str">
        <f>IF(Table1[[#This Row],[Daily_Screen_Time(hrs)]]&lt;=3,"Low",IF(Table1[[#This Row],[Daily_Screen_Time(hrs)]]&lt;=6,"Medium","High"))</f>
        <v>Medium</v>
      </c>
      <c r="M129" t="str">
        <f>IF(Table1[[#This Row],[Stress_Level(1-10)]]&lt;=4,"Low",IF(Table1[[#This Row],[Stress_Level(1-10)]]&lt;=7,"Medium","High"))</f>
        <v>Medium</v>
      </c>
      <c r="N129" t="str">
        <f>IF(Table1[[#This Row],[Happiness_Index(1-10)]]&lt;=4,"Low",IF(Table1[[#This Row],[Happiness_Index(1-10)]]&lt;=7,"Normal","High"))</f>
        <v>High</v>
      </c>
    </row>
    <row r="130" spans="1:14" x14ac:dyDescent="0.25">
      <c r="A130" t="s">
        <v>147</v>
      </c>
      <c r="B130">
        <v>21</v>
      </c>
      <c r="C130" t="s">
        <v>11</v>
      </c>
      <c r="D130">
        <v>8.1999999999999993</v>
      </c>
      <c r="E130">
        <v>5</v>
      </c>
      <c r="F130">
        <v>7</v>
      </c>
      <c r="G130">
        <v>6</v>
      </c>
      <c r="H130">
        <v>4</v>
      </c>
      <c r="I130" t="s">
        <v>26</v>
      </c>
      <c r="J130">
        <v>7</v>
      </c>
      <c r="K130" t="str">
        <f t="shared" ref="K130:K193" si="2">IF(B130&lt;=25,"15–25",IF(B130&lt;=35,"26–35",IF(B130&lt;=45,"36–45","46+")))</f>
        <v>15–25</v>
      </c>
      <c r="L130" t="str">
        <f>IF(Table1[[#This Row],[Daily_Screen_Time(hrs)]]&lt;=3,"Low",IF(Table1[[#This Row],[Daily_Screen_Time(hrs)]]&lt;=6,"Medium","High"))</f>
        <v>High</v>
      </c>
      <c r="M130" t="str">
        <f>IF(Table1[[#This Row],[Stress_Level(1-10)]]&lt;=4,"Low",IF(Table1[[#This Row],[Stress_Level(1-10)]]&lt;=7,"Medium","High"))</f>
        <v>Medium</v>
      </c>
      <c r="N130" t="str">
        <f>IF(Table1[[#This Row],[Happiness_Index(1-10)]]&lt;=4,"Low",IF(Table1[[#This Row],[Happiness_Index(1-10)]]&lt;=7,"Normal","High"))</f>
        <v>Normal</v>
      </c>
    </row>
    <row r="131" spans="1:14" x14ac:dyDescent="0.25">
      <c r="A131" t="s">
        <v>148</v>
      </c>
      <c r="B131">
        <v>23</v>
      </c>
      <c r="C131" t="s">
        <v>11</v>
      </c>
      <c r="D131">
        <v>5.9</v>
      </c>
      <c r="E131">
        <v>5</v>
      </c>
      <c r="F131">
        <v>5</v>
      </c>
      <c r="G131">
        <v>4</v>
      </c>
      <c r="H131">
        <v>0</v>
      </c>
      <c r="I131" t="s">
        <v>22</v>
      </c>
      <c r="J131">
        <v>9</v>
      </c>
      <c r="K131" t="str">
        <f t="shared" si="2"/>
        <v>15–25</v>
      </c>
      <c r="L131" t="str">
        <f>IF(Table1[[#This Row],[Daily_Screen_Time(hrs)]]&lt;=3,"Low",IF(Table1[[#This Row],[Daily_Screen_Time(hrs)]]&lt;=6,"Medium","High"))</f>
        <v>Medium</v>
      </c>
      <c r="M131" t="str">
        <f>IF(Table1[[#This Row],[Stress_Level(1-10)]]&lt;=4,"Low",IF(Table1[[#This Row],[Stress_Level(1-10)]]&lt;=7,"Medium","High"))</f>
        <v>Medium</v>
      </c>
      <c r="N131" t="str">
        <f>IF(Table1[[#This Row],[Happiness_Index(1-10)]]&lt;=4,"Low",IF(Table1[[#This Row],[Happiness_Index(1-10)]]&lt;=7,"Normal","High"))</f>
        <v>High</v>
      </c>
    </row>
    <row r="132" spans="1:14" x14ac:dyDescent="0.25">
      <c r="A132" t="s">
        <v>149</v>
      </c>
      <c r="B132">
        <v>42</v>
      </c>
      <c r="C132" t="s">
        <v>19</v>
      </c>
      <c r="D132">
        <v>6</v>
      </c>
      <c r="E132">
        <v>5</v>
      </c>
      <c r="F132">
        <v>8</v>
      </c>
      <c r="G132">
        <v>1</v>
      </c>
      <c r="H132">
        <v>1</v>
      </c>
      <c r="I132" t="s">
        <v>15</v>
      </c>
      <c r="J132">
        <v>7</v>
      </c>
      <c r="K132" t="str">
        <f t="shared" si="2"/>
        <v>36–45</v>
      </c>
      <c r="L132" t="str">
        <f>IF(Table1[[#This Row],[Daily_Screen_Time(hrs)]]&lt;=3,"Low",IF(Table1[[#This Row],[Daily_Screen_Time(hrs)]]&lt;=6,"Medium","High"))</f>
        <v>Medium</v>
      </c>
      <c r="M132" t="str">
        <f>IF(Table1[[#This Row],[Stress_Level(1-10)]]&lt;=4,"Low",IF(Table1[[#This Row],[Stress_Level(1-10)]]&lt;=7,"Medium","High"))</f>
        <v>High</v>
      </c>
      <c r="N132" t="str">
        <f>IF(Table1[[#This Row],[Happiness_Index(1-10)]]&lt;=4,"Low",IF(Table1[[#This Row],[Happiness_Index(1-10)]]&lt;=7,"Normal","High"))</f>
        <v>Normal</v>
      </c>
    </row>
    <row r="133" spans="1:14" x14ac:dyDescent="0.25">
      <c r="A133" t="s">
        <v>150</v>
      </c>
      <c r="B133">
        <v>24</v>
      </c>
      <c r="C133" t="s">
        <v>11</v>
      </c>
      <c r="D133">
        <v>4.8</v>
      </c>
      <c r="E133">
        <v>8</v>
      </c>
      <c r="F133">
        <v>4</v>
      </c>
      <c r="G133">
        <v>6</v>
      </c>
      <c r="H133">
        <v>4</v>
      </c>
      <c r="I133" t="s">
        <v>15</v>
      </c>
      <c r="J133">
        <v>10</v>
      </c>
      <c r="K133" t="str">
        <f t="shared" si="2"/>
        <v>15–25</v>
      </c>
      <c r="L133" t="str">
        <f>IF(Table1[[#This Row],[Daily_Screen_Time(hrs)]]&lt;=3,"Low",IF(Table1[[#This Row],[Daily_Screen_Time(hrs)]]&lt;=6,"Medium","High"))</f>
        <v>Medium</v>
      </c>
      <c r="M133" t="str">
        <f>IF(Table1[[#This Row],[Stress_Level(1-10)]]&lt;=4,"Low",IF(Table1[[#This Row],[Stress_Level(1-10)]]&lt;=7,"Medium","High"))</f>
        <v>Low</v>
      </c>
      <c r="N133" t="str">
        <f>IF(Table1[[#This Row],[Happiness_Index(1-10)]]&lt;=4,"Low",IF(Table1[[#This Row],[Happiness_Index(1-10)]]&lt;=7,"Normal","High"))</f>
        <v>High</v>
      </c>
    </row>
    <row r="134" spans="1:14" x14ac:dyDescent="0.25">
      <c r="A134" t="s">
        <v>151</v>
      </c>
      <c r="B134">
        <v>48</v>
      </c>
      <c r="C134" t="s">
        <v>11</v>
      </c>
      <c r="D134">
        <v>6.5</v>
      </c>
      <c r="E134">
        <v>6</v>
      </c>
      <c r="F134">
        <v>8</v>
      </c>
      <c r="G134">
        <v>3</v>
      </c>
      <c r="H134">
        <v>3</v>
      </c>
      <c r="I134" t="s">
        <v>20</v>
      </c>
      <c r="J134">
        <v>8</v>
      </c>
      <c r="K134" t="str">
        <f t="shared" si="2"/>
        <v>46+</v>
      </c>
      <c r="L134" t="str">
        <f>IF(Table1[[#This Row],[Daily_Screen_Time(hrs)]]&lt;=3,"Low",IF(Table1[[#This Row],[Daily_Screen_Time(hrs)]]&lt;=6,"Medium","High"))</f>
        <v>High</v>
      </c>
      <c r="M134" t="str">
        <f>IF(Table1[[#This Row],[Stress_Level(1-10)]]&lt;=4,"Low",IF(Table1[[#This Row],[Stress_Level(1-10)]]&lt;=7,"Medium","High"))</f>
        <v>High</v>
      </c>
      <c r="N134" t="str">
        <f>IF(Table1[[#This Row],[Happiness_Index(1-10)]]&lt;=4,"Low",IF(Table1[[#This Row],[Happiness_Index(1-10)]]&lt;=7,"Normal","High"))</f>
        <v>High</v>
      </c>
    </row>
    <row r="135" spans="1:14" x14ac:dyDescent="0.25">
      <c r="A135" t="s">
        <v>152</v>
      </c>
      <c r="B135">
        <v>39</v>
      </c>
      <c r="C135" t="s">
        <v>19</v>
      </c>
      <c r="D135">
        <v>5.6</v>
      </c>
      <c r="E135">
        <v>8</v>
      </c>
      <c r="F135">
        <v>6</v>
      </c>
      <c r="G135">
        <v>2</v>
      </c>
      <c r="H135">
        <v>3</v>
      </c>
      <c r="I135" t="s">
        <v>15</v>
      </c>
      <c r="J135">
        <v>9</v>
      </c>
      <c r="K135" t="str">
        <f t="shared" si="2"/>
        <v>36–45</v>
      </c>
      <c r="L135" t="str">
        <f>IF(Table1[[#This Row],[Daily_Screen_Time(hrs)]]&lt;=3,"Low",IF(Table1[[#This Row],[Daily_Screen_Time(hrs)]]&lt;=6,"Medium","High"))</f>
        <v>Medium</v>
      </c>
      <c r="M135" t="str">
        <f>IF(Table1[[#This Row],[Stress_Level(1-10)]]&lt;=4,"Low",IF(Table1[[#This Row],[Stress_Level(1-10)]]&lt;=7,"Medium","High"))</f>
        <v>Medium</v>
      </c>
      <c r="N135" t="str">
        <f>IF(Table1[[#This Row],[Happiness_Index(1-10)]]&lt;=4,"Low",IF(Table1[[#This Row],[Happiness_Index(1-10)]]&lt;=7,"Normal","High"))</f>
        <v>High</v>
      </c>
    </row>
    <row r="136" spans="1:14" x14ac:dyDescent="0.25">
      <c r="A136" t="s">
        <v>153</v>
      </c>
      <c r="B136">
        <v>30</v>
      </c>
      <c r="C136" t="s">
        <v>19</v>
      </c>
      <c r="D136">
        <v>7.7</v>
      </c>
      <c r="E136">
        <v>4</v>
      </c>
      <c r="F136">
        <v>10</v>
      </c>
      <c r="G136">
        <v>2</v>
      </c>
      <c r="H136">
        <v>1</v>
      </c>
      <c r="I136" t="s">
        <v>22</v>
      </c>
      <c r="J136">
        <v>8</v>
      </c>
      <c r="K136" t="str">
        <f t="shared" si="2"/>
        <v>26–35</v>
      </c>
      <c r="L136" t="str">
        <f>IF(Table1[[#This Row],[Daily_Screen_Time(hrs)]]&lt;=3,"Low",IF(Table1[[#This Row],[Daily_Screen_Time(hrs)]]&lt;=6,"Medium","High"))</f>
        <v>High</v>
      </c>
      <c r="M136" t="str">
        <f>IF(Table1[[#This Row],[Stress_Level(1-10)]]&lt;=4,"Low",IF(Table1[[#This Row],[Stress_Level(1-10)]]&lt;=7,"Medium","High"))</f>
        <v>High</v>
      </c>
      <c r="N136" t="str">
        <f>IF(Table1[[#This Row],[Happiness_Index(1-10)]]&lt;=4,"Low",IF(Table1[[#This Row],[Happiness_Index(1-10)]]&lt;=7,"Normal","High"))</f>
        <v>High</v>
      </c>
    </row>
    <row r="137" spans="1:14" x14ac:dyDescent="0.25">
      <c r="A137" t="s">
        <v>154</v>
      </c>
      <c r="B137">
        <v>47</v>
      </c>
      <c r="C137" t="s">
        <v>19</v>
      </c>
      <c r="D137">
        <v>2.9</v>
      </c>
      <c r="E137">
        <v>8</v>
      </c>
      <c r="F137">
        <v>5</v>
      </c>
      <c r="G137">
        <v>0</v>
      </c>
      <c r="H137">
        <v>1</v>
      </c>
      <c r="I137" t="s">
        <v>26</v>
      </c>
      <c r="J137">
        <v>10</v>
      </c>
      <c r="K137" t="str">
        <f t="shared" si="2"/>
        <v>46+</v>
      </c>
      <c r="L137" t="str">
        <f>IF(Table1[[#This Row],[Daily_Screen_Time(hrs)]]&lt;=3,"Low",IF(Table1[[#This Row],[Daily_Screen_Time(hrs)]]&lt;=6,"Medium","High"))</f>
        <v>Low</v>
      </c>
      <c r="M137" t="str">
        <f>IF(Table1[[#This Row],[Stress_Level(1-10)]]&lt;=4,"Low",IF(Table1[[#This Row],[Stress_Level(1-10)]]&lt;=7,"Medium","High"))</f>
        <v>Medium</v>
      </c>
      <c r="N137" t="str">
        <f>IF(Table1[[#This Row],[Happiness_Index(1-10)]]&lt;=4,"Low",IF(Table1[[#This Row],[Happiness_Index(1-10)]]&lt;=7,"Normal","High"))</f>
        <v>High</v>
      </c>
    </row>
    <row r="138" spans="1:14" x14ac:dyDescent="0.25">
      <c r="A138" t="s">
        <v>155</v>
      </c>
      <c r="B138">
        <v>47</v>
      </c>
      <c r="C138" t="s">
        <v>19</v>
      </c>
      <c r="D138">
        <v>5.8</v>
      </c>
      <c r="E138">
        <v>6</v>
      </c>
      <c r="F138">
        <v>7</v>
      </c>
      <c r="G138">
        <v>3</v>
      </c>
      <c r="H138">
        <v>4</v>
      </c>
      <c r="I138" t="s">
        <v>20</v>
      </c>
      <c r="J138">
        <v>10</v>
      </c>
      <c r="K138" t="str">
        <f t="shared" si="2"/>
        <v>46+</v>
      </c>
      <c r="L138" t="str">
        <f>IF(Table1[[#This Row],[Daily_Screen_Time(hrs)]]&lt;=3,"Low",IF(Table1[[#This Row],[Daily_Screen_Time(hrs)]]&lt;=6,"Medium","High"))</f>
        <v>Medium</v>
      </c>
      <c r="M138" t="str">
        <f>IF(Table1[[#This Row],[Stress_Level(1-10)]]&lt;=4,"Low",IF(Table1[[#This Row],[Stress_Level(1-10)]]&lt;=7,"Medium","High"))</f>
        <v>Medium</v>
      </c>
      <c r="N138" t="str">
        <f>IF(Table1[[#This Row],[Happiness_Index(1-10)]]&lt;=4,"Low",IF(Table1[[#This Row],[Happiness_Index(1-10)]]&lt;=7,"Normal","High"))</f>
        <v>High</v>
      </c>
    </row>
    <row r="139" spans="1:14" x14ac:dyDescent="0.25">
      <c r="A139" t="s">
        <v>156</v>
      </c>
      <c r="B139">
        <v>39</v>
      </c>
      <c r="C139" t="s">
        <v>11</v>
      </c>
      <c r="D139">
        <v>6.2</v>
      </c>
      <c r="E139">
        <v>5</v>
      </c>
      <c r="F139">
        <v>8</v>
      </c>
      <c r="G139">
        <v>4</v>
      </c>
      <c r="H139">
        <v>4</v>
      </c>
      <c r="I139" t="s">
        <v>15</v>
      </c>
      <c r="J139">
        <v>7</v>
      </c>
      <c r="K139" t="str">
        <f t="shared" si="2"/>
        <v>36–45</v>
      </c>
      <c r="L139" t="str">
        <f>IF(Table1[[#This Row],[Daily_Screen_Time(hrs)]]&lt;=3,"Low",IF(Table1[[#This Row],[Daily_Screen_Time(hrs)]]&lt;=6,"Medium","High"))</f>
        <v>High</v>
      </c>
      <c r="M139" t="str">
        <f>IF(Table1[[#This Row],[Stress_Level(1-10)]]&lt;=4,"Low",IF(Table1[[#This Row],[Stress_Level(1-10)]]&lt;=7,"Medium","High"))</f>
        <v>High</v>
      </c>
      <c r="N139" t="str">
        <f>IF(Table1[[#This Row],[Happiness_Index(1-10)]]&lt;=4,"Low",IF(Table1[[#This Row],[Happiness_Index(1-10)]]&lt;=7,"Normal","High"))</f>
        <v>Normal</v>
      </c>
    </row>
    <row r="140" spans="1:14" x14ac:dyDescent="0.25">
      <c r="A140" t="s">
        <v>157</v>
      </c>
      <c r="B140">
        <v>27</v>
      </c>
      <c r="C140" t="s">
        <v>11</v>
      </c>
      <c r="D140">
        <v>5.2</v>
      </c>
      <c r="E140">
        <v>7</v>
      </c>
      <c r="F140">
        <v>5</v>
      </c>
      <c r="G140">
        <v>2</v>
      </c>
      <c r="H140">
        <v>1</v>
      </c>
      <c r="I140" t="s">
        <v>15</v>
      </c>
      <c r="J140">
        <v>10</v>
      </c>
      <c r="K140" t="str">
        <f t="shared" si="2"/>
        <v>26–35</v>
      </c>
      <c r="L140" t="str">
        <f>IF(Table1[[#This Row],[Daily_Screen_Time(hrs)]]&lt;=3,"Low",IF(Table1[[#This Row],[Daily_Screen_Time(hrs)]]&lt;=6,"Medium","High"))</f>
        <v>Medium</v>
      </c>
      <c r="M140" t="str">
        <f>IF(Table1[[#This Row],[Stress_Level(1-10)]]&lt;=4,"Low",IF(Table1[[#This Row],[Stress_Level(1-10)]]&lt;=7,"Medium","High"))</f>
        <v>Medium</v>
      </c>
      <c r="N140" t="str">
        <f>IF(Table1[[#This Row],[Happiness_Index(1-10)]]&lt;=4,"Low",IF(Table1[[#This Row],[Happiness_Index(1-10)]]&lt;=7,"Normal","High"))</f>
        <v>High</v>
      </c>
    </row>
    <row r="141" spans="1:14" x14ac:dyDescent="0.25">
      <c r="A141" t="s">
        <v>158</v>
      </c>
      <c r="B141">
        <v>17</v>
      </c>
      <c r="C141" t="s">
        <v>19</v>
      </c>
      <c r="D141">
        <v>4.8</v>
      </c>
      <c r="E141">
        <v>8</v>
      </c>
      <c r="F141">
        <v>5</v>
      </c>
      <c r="G141">
        <v>4</v>
      </c>
      <c r="H141">
        <v>1</v>
      </c>
      <c r="I141" t="s">
        <v>22</v>
      </c>
      <c r="J141">
        <v>10</v>
      </c>
      <c r="K141" t="str">
        <f t="shared" si="2"/>
        <v>15–25</v>
      </c>
      <c r="L141" t="str">
        <f>IF(Table1[[#This Row],[Daily_Screen_Time(hrs)]]&lt;=3,"Low",IF(Table1[[#This Row],[Daily_Screen_Time(hrs)]]&lt;=6,"Medium","High"))</f>
        <v>Medium</v>
      </c>
      <c r="M141" t="str">
        <f>IF(Table1[[#This Row],[Stress_Level(1-10)]]&lt;=4,"Low",IF(Table1[[#This Row],[Stress_Level(1-10)]]&lt;=7,"Medium","High"))</f>
        <v>Medium</v>
      </c>
      <c r="N141" t="str">
        <f>IF(Table1[[#This Row],[Happiness_Index(1-10)]]&lt;=4,"Low",IF(Table1[[#This Row],[Happiness_Index(1-10)]]&lt;=7,"Normal","High"))</f>
        <v>High</v>
      </c>
    </row>
    <row r="142" spans="1:14" x14ac:dyDescent="0.25">
      <c r="A142" t="s">
        <v>159</v>
      </c>
      <c r="B142">
        <v>18</v>
      </c>
      <c r="C142" t="s">
        <v>11</v>
      </c>
      <c r="D142">
        <v>4.8</v>
      </c>
      <c r="E142">
        <v>6</v>
      </c>
      <c r="F142">
        <v>5</v>
      </c>
      <c r="G142">
        <v>1</v>
      </c>
      <c r="H142">
        <v>2</v>
      </c>
      <c r="I142" t="s">
        <v>12</v>
      </c>
      <c r="J142">
        <v>10</v>
      </c>
      <c r="K142" t="str">
        <f t="shared" si="2"/>
        <v>15–25</v>
      </c>
      <c r="L142" t="str">
        <f>IF(Table1[[#This Row],[Daily_Screen_Time(hrs)]]&lt;=3,"Low",IF(Table1[[#This Row],[Daily_Screen_Time(hrs)]]&lt;=6,"Medium","High"))</f>
        <v>Medium</v>
      </c>
      <c r="M142" t="str">
        <f>IF(Table1[[#This Row],[Stress_Level(1-10)]]&lt;=4,"Low",IF(Table1[[#This Row],[Stress_Level(1-10)]]&lt;=7,"Medium","High"))</f>
        <v>Medium</v>
      </c>
      <c r="N142" t="str">
        <f>IF(Table1[[#This Row],[Happiness_Index(1-10)]]&lt;=4,"Low",IF(Table1[[#This Row],[Happiness_Index(1-10)]]&lt;=7,"Normal","High"))</f>
        <v>High</v>
      </c>
    </row>
    <row r="143" spans="1:14" x14ac:dyDescent="0.25">
      <c r="A143" t="s">
        <v>160</v>
      </c>
      <c r="B143">
        <v>32</v>
      </c>
      <c r="C143" t="s">
        <v>11</v>
      </c>
      <c r="D143">
        <v>5.8</v>
      </c>
      <c r="E143">
        <v>6</v>
      </c>
      <c r="F143">
        <v>6</v>
      </c>
      <c r="G143">
        <v>3</v>
      </c>
      <c r="H143">
        <v>1</v>
      </c>
      <c r="I143" t="s">
        <v>12</v>
      </c>
      <c r="J143">
        <v>10</v>
      </c>
      <c r="K143" t="str">
        <f t="shared" si="2"/>
        <v>26–35</v>
      </c>
      <c r="L143" t="str">
        <f>IF(Table1[[#This Row],[Daily_Screen_Time(hrs)]]&lt;=3,"Low",IF(Table1[[#This Row],[Daily_Screen_Time(hrs)]]&lt;=6,"Medium","High"))</f>
        <v>Medium</v>
      </c>
      <c r="M143" t="str">
        <f>IF(Table1[[#This Row],[Stress_Level(1-10)]]&lt;=4,"Low",IF(Table1[[#This Row],[Stress_Level(1-10)]]&lt;=7,"Medium","High"))</f>
        <v>Medium</v>
      </c>
      <c r="N143" t="str">
        <f>IF(Table1[[#This Row],[Happiness_Index(1-10)]]&lt;=4,"Low",IF(Table1[[#This Row],[Happiness_Index(1-10)]]&lt;=7,"Normal","High"))</f>
        <v>High</v>
      </c>
    </row>
    <row r="144" spans="1:14" x14ac:dyDescent="0.25">
      <c r="A144" t="s">
        <v>161</v>
      </c>
      <c r="B144">
        <v>17</v>
      </c>
      <c r="C144" t="s">
        <v>11</v>
      </c>
      <c r="D144">
        <v>2.2000000000000002</v>
      </c>
      <c r="E144">
        <v>10</v>
      </c>
      <c r="F144">
        <v>5</v>
      </c>
      <c r="G144">
        <v>4</v>
      </c>
      <c r="H144">
        <v>1</v>
      </c>
      <c r="I144" t="s">
        <v>15</v>
      </c>
      <c r="J144">
        <v>10</v>
      </c>
      <c r="K144" t="str">
        <f t="shared" si="2"/>
        <v>15–25</v>
      </c>
      <c r="L144" t="str">
        <f>IF(Table1[[#This Row],[Daily_Screen_Time(hrs)]]&lt;=3,"Low",IF(Table1[[#This Row],[Daily_Screen_Time(hrs)]]&lt;=6,"Medium","High"))</f>
        <v>Low</v>
      </c>
      <c r="M144" t="str">
        <f>IF(Table1[[#This Row],[Stress_Level(1-10)]]&lt;=4,"Low",IF(Table1[[#This Row],[Stress_Level(1-10)]]&lt;=7,"Medium","High"))</f>
        <v>Medium</v>
      </c>
      <c r="N144" t="str">
        <f>IF(Table1[[#This Row],[Happiness_Index(1-10)]]&lt;=4,"Low",IF(Table1[[#This Row],[Happiness_Index(1-10)]]&lt;=7,"Normal","High"))</f>
        <v>High</v>
      </c>
    </row>
    <row r="145" spans="1:14" x14ac:dyDescent="0.25">
      <c r="A145" t="s">
        <v>162</v>
      </c>
      <c r="B145">
        <v>17</v>
      </c>
      <c r="C145" t="s">
        <v>11</v>
      </c>
      <c r="D145">
        <v>7.2</v>
      </c>
      <c r="E145">
        <v>7</v>
      </c>
      <c r="F145">
        <v>8</v>
      </c>
      <c r="G145">
        <v>3</v>
      </c>
      <c r="H145">
        <v>1</v>
      </c>
      <c r="I145" t="s">
        <v>26</v>
      </c>
      <c r="J145">
        <v>8</v>
      </c>
      <c r="K145" t="str">
        <f t="shared" si="2"/>
        <v>15–25</v>
      </c>
      <c r="L145" t="str">
        <f>IF(Table1[[#This Row],[Daily_Screen_Time(hrs)]]&lt;=3,"Low",IF(Table1[[#This Row],[Daily_Screen_Time(hrs)]]&lt;=6,"Medium","High"))</f>
        <v>High</v>
      </c>
      <c r="M145" t="str">
        <f>IF(Table1[[#This Row],[Stress_Level(1-10)]]&lt;=4,"Low",IF(Table1[[#This Row],[Stress_Level(1-10)]]&lt;=7,"Medium","High"))</f>
        <v>High</v>
      </c>
      <c r="N145" t="str">
        <f>IF(Table1[[#This Row],[Happiness_Index(1-10)]]&lt;=4,"Low",IF(Table1[[#This Row],[Happiness_Index(1-10)]]&lt;=7,"Normal","High"))</f>
        <v>High</v>
      </c>
    </row>
    <row r="146" spans="1:14" x14ac:dyDescent="0.25">
      <c r="A146" t="s">
        <v>163</v>
      </c>
      <c r="B146">
        <v>43</v>
      </c>
      <c r="C146" t="s">
        <v>11</v>
      </c>
      <c r="D146">
        <v>4.5999999999999996</v>
      </c>
      <c r="E146">
        <v>8</v>
      </c>
      <c r="F146">
        <v>7</v>
      </c>
      <c r="G146">
        <v>0</v>
      </c>
      <c r="H146">
        <v>2</v>
      </c>
      <c r="I146" t="s">
        <v>20</v>
      </c>
      <c r="J146">
        <v>9</v>
      </c>
      <c r="K146" t="str">
        <f t="shared" si="2"/>
        <v>36–45</v>
      </c>
      <c r="L146" t="str">
        <f>IF(Table1[[#This Row],[Daily_Screen_Time(hrs)]]&lt;=3,"Low",IF(Table1[[#This Row],[Daily_Screen_Time(hrs)]]&lt;=6,"Medium","High"))</f>
        <v>Medium</v>
      </c>
      <c r="M146" t="str">
        <f>IF(Table1[[#This Row],[Stress_Level(1-10)]]&lt;=4,"Low",IF(Table1[[#This Row],[Stress_Level(1-10)]]&lt;=7,"Medium","High"))</f>
        <v>Medium</v>
      </c>
      <c r="N146" t="str">
        <f>IF(Table1[[#This Row],[Happiness_Index(1-10)]]&lt;=4,"Low",IF(Table1[[#This Row],[Happiness_Index(1-10)]]&lt;=7,"Normal","High"))</f>
        <v>High</v>
      </c>
    </row>
    <row r="147" spans="1:14" x14ac:dyDescent="0.25">
      <c r="A147" t="s">
        <v>164</v>
      </c>
      <c r="B147">
        <v>38</v>
      </c>
      <c r="C147" t="s">
        <v>11</v>
      </c>
      <c r="D147">
        <v>5.7</v>
      </c>
      <c r="E147">
        <v>7</v>
      </c>
      <c r="F147">
        <v>5</v>
      </c>
      <c r="G147">
        <v>2</v>
      </c>
      <c r="H147">
        <v>1</v>
      </c>
      <c r="I147" t="s">
        <v>15</v>
      </c>
      <c r="J147">
        <v>10</v>
      </c>
      <c r="K147" t="str">
        <f t="shared" si="2"/>
        <v>36–45</v>
      </c>
      <c r="L147" t="str">
        <f>IF(Table1[[#This Row],[Daily_Screen_Time(hrs)]]&lt;=3,"Low",IF(Table1[[#This Row],[Daily_Screen_Time(hrs)]]&lt;=6,"Medium","High"))</f>
        <v>Medium</v>
      </c>
      <c r="M147" t="str">
        <f>IF(Table1[[#This Row],[Stress_Level(1-10)]]&lt;=4,"Low",IF(Table1[[#This Row],[Stress_Level(1-10)]]&lt;=7,"Medium","High"))</f>
        <v>Medium</v>
      </c>
      <c r="N147" t="str">
        <f>IF(Table1[[#This Row],[Happiness_Index(1-10)]]&lt;=4,"Low",IF(Table1[[#This Row],[Happiness_Index(1-10)]]&lt;=7,"Normal","High"))</f>
        <v>High</v>
      </c>
    </row>
    <row r="148" spans="1:14" x14ac:dyDescent="0.25">
      <c r="A148" t="s">
        <v>165</v>
      </c>
      <c r="B148">
        <v>47</v>
      </c>
      <c r="C148" t="s">
        <v>11</v>
      </c>
      <c r="D148">
        <v>6.2</v>
      </c>
      <c r="E148">
        <v>5</v>
      </c>
      <c r="F148">
        <v>7</v>
      </c>
      <c r="G148">
        <v>6</v>
      </c>
      <c r="H148">
        <v>1</v>
      </c>
      <c r="I148" t="s">
        <v>17</v>
      </c>
      <c r="J148">
        <v>9</v>
      </c>
      <c r="K148" t="str">
        <f t="shared" si="2"/>
        <v>46+</v>
      </c>
      <c r="L148" t="str">
        <f>IF(Table1[[#This Row],[Daily_Screen_Time(hrs)]]&lt;=3,"Low",IF(Table1[[#This Row],[Daily_Screen_Time(hrs)]]&lt;=6,"Medium","High"))</f>
        <v>High</v>
      </c>
      <c r="M148" t="str">
        <f>IF(Table1[[#This Row],[Stress_Level(1-10)]]&lt;=4,"Low",IF(Table1[[#This Row],[Stress_Level(1-10)]]&lt;=7,"Medium","High"))</f>
        <v>Medium</v>
      </c>
      <c r="N148" t="str">
        <f>IF(Table1[[#This Row],[Happiness_Index(1-10)]]&lt;=4,"Low",IF(Table1[[#This Row],[Happiness_Index(1-10)]]&lt;=7,"Normal","High"))</f>
        <v>High</v>
      </c>
    </row>
    <row r="149" spans="1:14" x14ac:dyDescent="0.25">
      <c r="A149" t="s">
        <v>166</v>
      </c>
      <c r="B149">
        <v>48</v>
      </c>
      <c r="C149" t="s">
        <v>11</v>
      </c>
      <c r="D149">
        <v>4.5999999999999996</v>
      </c>
      <c r="E149">
        <v>7</v>
      </c>
      <c r="F149">
        <v>5</v>
      </c>
      <c r="G149">
        <v>2</v>
      </c>
      <c r="H149">
        <v>3</v>
      </c>
      <c r="I149" t="s">
        <v>20</v>
      </c>
      <c r="J149">
        <v>10</v>
      </c>
      <c r="K149" t="str">
        <f t="shared" si="2"/>
        <v>46+</v>
      </c>
      <c r="L149" t="str">
        <f>IF(Table1[[#This Row],[Daily_Screen_Time(hrs)]]&lt;=3,"Low",IF(Table1[[#This Row],[Daily_Screen_Time(hrs)]]&lt;=6,"Medium","High"))</f>
        <v>Medium</v>
      </c>
      <c r="M149" t="str">
        <f>IF(Table1[[#This Row],[Stress_Level(1-10)]]&lt;=4,"Low",IF(Table1[[#This Row],[Stress_Level(1-10)]]&lt;=7,"Medium","High"))</f>
        <v>Medium</v>
      </c>
      <c r="N149" t="str">
        <f>IF(Table1[[#This Row],[Happiness_Index(1-10)]]&lt;=4,"Low",IF(Table1[[#This Row],[Happiness_Index(1-10)]]&lt;=7,"Normal","High"))</f>
        <v>High</v>
      </c>
    </row>
    <row r="150" spans="1:14" x14ac:dyDescent="0.25">
      <c r="A150" t="s">
        <v>167</v>
      </c>
      <c r="B150">
        <v>16</v>
      </c>
      <c r="C150" t="s">
        <v>19</v>
      </c>
      <c r="D150">
        <v>5.3</v>
      </c>
      <c r="E150">
        <v>7</v>
      </c>
      <c r="F150">
        <v>6</v>
      </c>
      <c r="G150">
        <v>3</v>
      </c>
      <c r="H150">
        <v>2</v>
      </c>
      <c r="I150" t="s">
        <v>12</v>
      </c>
      <c r="J150">
        <v>10</v>
      </c>
      <c r="K150" t="str">
        <f t="shared" si="2"/>
        <v>15–25</v>
      </c>
      <c r="L150" t="str">
        <f>IF(Table1[[#This Row],[Daily_Screen_Time(hrs)]]&lt;=3,"Low",IF(Table1[[#This Row],[Daily_Screen_Time(hrs)]]&lt;=6,"Medium","High"))</f>
        <v>Medium</v>
      </c>
      <c r="M150" t="str">
        <f>IF(Table1[[#This Row],[Stress_Level(1-10)]]&lt;=4,"Low",IF(Table1[[#This Row],[Stress_Level(1-10)]]&lt;=7,"Medium","High"))</f>
        <v>Medium</v>
      </c>
      <c r="N150" t="str">
        <f>IF(Table1[[#This Row],[Happiness_Index(1-10)]]&lt;=4,"Low",IF(Table1[[#This Row],[Happiness_Index(1-10)]]&lt;=7,"Normal","High"))</f>
        <v>High</v>
      </c>
    </row>
    <row r="151" spans="1:14" x14ac:dyDescent="0.25">
      <c r="A151" t="s">
        <v>168</v>
      </c>
      <c r="B151">
        <v>34</v>
      </c>
      <c r="C151" t="s">
        <v>19</v>
      </c>
      <c r="D151">
        <v>1.8</v>
      </c>
      <c r="E151">
        <v>9</v>
      </c>
      <c r="F151">
        <v>7</v>
      </c>
      <c r="G151">
        <v>3</v>
      </c>
      <c r="H151">
        <v>3</v>
      </c>
      <c r="I151" t="s">
        <v>15</v>
      </c>
      <c r="J151">
        <v>10</v>
      </c>
      <c r="K151" t="str">
        <f t="shared" si="2"/>
        <v>26–35</v>
      </c>
      <c r="L151" t="str">
        <f>IF(Table1[[#This Row],[Daily_Screen_Time(hrs)]]&lt;=3,"Low",IF(Table1[[#This Row],[Daily_Screen_Time(hrs)]]&lt;=6,"Medium","High"))</f>
        <v>Low</v>
      </c>
      <c r="M151" t="str">
        <f>IF(Table1[[#This Row],[Stress_Level(1-10)]]&lt;=4,"Low",IF(Table1[[#This Row],[Stress_Level(1-10)]]&lt;=7,"Medium","High"))</f>
        <v>Medium</v>
      </c>
      <c r="N151" t="str">
        <f>IF(Table1[[#This Row],[Happiness_Index(1-10)]]&lt;=4,"Low",IF(Table1[[#This Row],[Happiness_Index(1-10)]]&lt;=7,"Normal","High"))</f>
        <v>High</v>
      </c>
    </row>
    <row r="152" spans="1:14" x14ac:dyDescent="0.25">
      <c r="A152" t="s">
        <v>169</v>
      </c>
      <c r="B152">
        <v>17</v>
      </c>
      <c r="C152" t="s">
        <v>19</v>
      </c>
      <c r="D152">
        <v>6.8</v>
      </c>
      <c r="E152">
        <v>5</v>
      </c>
      <c r="F152">
        <v>8</v>
      </c>
      <c r="G152">
        <v>6</v>
      </c>
      <c r="H152">
        <v>0</v>
      </c>
      <c r="I152" t="s">
        <v>22</v>
      </c>
      <c r="J152">
        <v>6</v>
      </c>
      <c r="K152" t="str">
        <f t="shared" si="2"/>
        <v>15–25</v>
      </c>
      <c r="L152" t="str">
        <f>IF(Table1[[#This Row],[Daily_Screen_Time(hrs)]]&lt;=3,"Low",IF(Table1[[#This Row],[Daily_Screen_Time(hrs)]]&lt;=6,"Medium","High"))</f>
        <v>High</v>
      </c>
      <c r="M152" t="str">
        <f>IF(Table1[[#This Row],[Stress_Level(1-10)]]&lt;=4,"Low",IF(Table1[[#This Row],[Stress_Level(1-10)]]&lt;=7,"Medium","High"))</f>
        <v>High</v>
      </c>
      <c r="N152" t="str">
        <f>IF(Table1[[#This Row],[Happiness_Index(1-10)]]&lt;=4,"Low",IF(Table1[[#This Row],[Happiness_Index(1-10)]]&lt;=7,"Normal","High"))</f>
        <v>Normal</v>
      </c>
    </row>
    <row r="153" spans="1:14" x14ac:dyDescent="0.25">
      <c r="A153" t="s">
        <v>170</v>
      </c>
      <c r="B153">
        <v>41</v>
      </c>
      <c r="C153" t="s">
        <v>19</v>
      </c>
      <c r="D153">
        <v>7.4</v>
      </c>
      <c r="E153">
        <v>4</v>
      </c>
      <c r="F153">
        <v>9</v>
      </c>
      <c r="G153">
        <v>6</v>
      </c>
      <c r="H153">
        <v>3</v>
      </c>
      <c r="I153" t="s">
        <v>17</v>
      </c>
      <c r="J153">
        <v>5</v>
      </c>
      <c r="K153" t="str">
        <f t="shared" si="2"/>
        <v>36–45</v>
      </c>
      <c r="L153" t="str">
        <f>IF(Table1[[#This Row],[Daily_Screen_Time(hrs)]]&lt;=3,"Low",IF(Table1[[#This Row],[Daily_Screen_Time(hrs)]]&lt;=6,"Medium","High"))</f>
        <v>High</v>
      </c>
      <c r="M153" t="str">
        <f>IF(Table1[[#This Row],[Stress_Level(1-10)]]&lt;=4,"Low",IF(Table1[[#This Row],[Stress_Level(1-10)]]&lt;=7,"Medium","High"))</f>
        <v>High</v>
      </c>
      <c r="N153" t="str">
        <f>IF(Table1[[#This Row],[Happiness_Index(1-10)]]&lt;=4,"Low",IF(Table1[[#This Row],[Happiness_Index(1-10)]]&lt;=7,"Normal","High"))</f>
        <v>Normal</v>
      </c>
    </row>
    <row r="154" spans="1:14" x14ac:dyDescent="0.25">
      <c r="A154" t="s">
        <v>171</v>
      </c>
      <c r="B154">
        <v>47</v>
      </c>
      <c r="C154" t="s">
        <v>19</v>
      </c>
      <c r="D154">
        <v>2.4</v>
      </c>
      <c r="E154">
        <v>7</v>
      </c>
      <c r="F154">
        <v>7</v>
      </c>
      <c r="G154">
        <v>5</v>
      </c>
      <c r="H154">
        <v>6</v>
      </c>
      <c r="I154" t="s">
        <v>15</v>
      </c>
      <c r="J154">
        <v>9</v>
      </c>
      <c r="K154" t="str">
        <f t="shared" si="2"/>
        <v>46+</v>
      </c>
      <c r="L154" t="str">
        <f>IF(Table1[[#This Row],[Daily_Screen_Time(hrs)]]&lt;=3,"Low",IF(Table1[[#This Row],[Daily_Screen_Time(hrs)]]&lt;=6,"Medium","High"))</f>
        <v>Low</v>
      </c>
      <c r="M154" t="str">
        <f>IF(Table1[[#This Row],[Stress_Level(1-10)]]&lt;=4,"Low",IF(Table1[[#This Row],[Stress_Level(1-10)]]&lt;=7,"Medium","High"))</f>
        <v>Medium</v>
      </c>
      <c r="N154" t="str">
        <f>IF(Table1[[#This Row],[Happiness_Index(1-10)]]&lt;=4,"Low",IF(Table1[[#This Row],[Happiness_Index(1-10)]]&lt;=7,"Normal","High"))</f>
        <v>High</v>
      </c>
    </row>
    <row r="155" spans="1:14" x14ac:dyDescent="0.25">
      <c r="A155" t="s">
        <v>172</v>
      </c>
      <c r="B155">
        <v>21</v>
      </c>
      <c r="C155" t="s">
        <v>11</v>
      </c>
      <c r="D155">
        <v>4.8</v>
      </c>
      <c r="E155">
        <v>5</v>
      </c>
      <c r="F155">
        <v>7</v>
      </c>
      <c r="G155">
        <v>1</v>
      </c>
      <c r="H155">
        <v>2</v>
      </c>
      <c r="I155" t="s">
        <v>26</v>
      </c>
      <c r="J155">
        <v>8</v>
      </c>
      <c r="K155" t="str">
        <f t="shared" si="2"/>
        <v>15–25</v>
      </c>
      <c r="L155" t="str">
        <f>IF(Table1[[#This Row],[Daily_Screen_Time(hrs)]]&lt;=3,"Low",IF(Table1[[#This Row],[Daily_Screen_Time(hrs)]]&lt;=6,"Medium","High"))</f>
        <v>Medium</v>
      </c>
      <c r="M155" t="str">
        <f>IF(Table1[[#This Row],[Stress_Level(1-10)]]&lt;=4,"Low",IF(Table1[[#This Row],[Stress_Level(1-10)]]&lt;=7,"Medium","High"))</f>
        <v>Medium</v>
      </c>
      <c r="N155" t="str">
        <f>IF(Table1[[#This Row],[Happiness_Index(1-10)]]&lt;=4,"Low",IF(Table1[[#This Row],[Happiness_Index(1-10)]]&lt;=7,"Normal","High"))</f>
        <v>High</v>
      </c>
    </row>
    <row r="156" spans="1:14" x14ac:dyDescent="0.25">
      <c r="A156" t="s">
        <v>173</v>
      </c>
      <c r="B156">
        <v>47</v>
      </c>
      <c r="C156" t="s">
        <v>19</v>
      </c>
      <c r="D156">
        <v>3.3</v>
      </c>
      <c r="E156">
        <v>8</v>
      </c>
      <c r="F156">
        <v>5</v>
      </c>
      <c r="G156">
        <v>4</v>
      </c>
      <c r="H156">
        <v>4</v>
      </c>
      <c r="I156" t="s">
        <v>17</v>
      </c>
      <c r="J156">
        <v>10</v>
      </c>
      <c r="K156" t="str">
        <f t="shared" si="2"/>
        <v>46+</v>
      </c>
      <c r="L156" t="str">
        <f>IF(Table1[[#This Row],[Daily_Screen_Time(hrs)]]&lt;=3,"Low",IF(Table1[[#This Row],[Daily_Screen_Time(hrs)]]&lt;=6,"Medium","High"))</f>
        <v>Medium</v>
      </c>
      <c r="M156" t="str">
        <f>IF(Table1[[#This Row],[Stress_Level(1-10)]]&lt;=4,"Low",IF(Table1[[#This Row],[Stress_Level(1-10)]]&lt;=7,"Medium","High"))</f>
        <v>Medium</v>
      </c>
      <c r="N156" t="str">
        <f>IF(Table1[[#This Row],[Happiness_Index(1-10)]]&lt;=4,"Low",IF(Table1[[#This Row],[Happiness_Index(1-10)]]&lt;=7,"Normal","High"))</f>
        <v>High</v>
      </c>
    </row>
    <row r="157" spans="1:14" x14ac:dyDescent="0.25">
      <c r="A157" t="s">
        <v>174</v>
      </c>
      <c r="B157">
        <v>19</v>
      </c>
      <c r="C157" t="s">
        <v>19</v>
      </c>
      <c r="D157">
        <v>5.2</v>
      </c>
      <c r="E157">
        <v>7</v>
      </c>
      <c r="F157">
        <v>5</v>
      </c>
      <c r="G157">
        <v>4</v>
      </c>
      <c r="H157">
        <v>4</v>
      </c>
      <c r="I157" t="s">
        <v>15</v>
      </c>
      <c r="J157">
        <v>10</v>
      </c>
      <c r="K157" t="str">
        <f t="shared" si="2"/>
        <v>15–25</v>
      </c>
      <c r="L157" t="str">
        <f>IF(Table1[[#This Row],[Daily_Screen_Time(hrs)]]&lt;=3,"Low",IF(Table1[[#This Row],[Daily_Screen_Time(hrs)]]&lt;=6,"Medium","High"))</f>
        <v>Medium</v>
      </c>
      <c r="M157" t="str">
        <f>IF(Table1[[#This Row],[Stress_Level(1-10)]]&lt;=4,"Low",IF(Table1[[#This Row],[Stress_Level(1-10)]]&lt;=7,"Medium","High"))</f>
        <v>Medium</v>
      </c>
      <c r="N157" t="str">
        <f>IF(Table1[[#This Row],[Happiness_Index(1-10)]]&lt;=4,"Low",IF(Table1[[#This Row],[Happiness_Index(1-10)]]&lt;=7,"Normal","High"))</f>
        <v>High</v>
      </c>
    </row>
    <row r="158" spans="1:14" x14ac:dyDescent="0.25">
      <c r="A158" t="s">
        <v>175</v>
      </c>
      <c r="B158">
        <v>26</v>
      </c>
      <c r="C158" t="s">
        <v>19</v>
      </c>
      <c r="D158">
        <v>6.7</v>
      </c>
      <c r="E158">
        <v>5</v>
      </c>
      <c r="F158">
        <v>7</v>
      </c>
      <c r="G158">
        <v>2</v>
      </c>
      <c r="H158">
        <v>4</v>
      </c>
      <c r="I158" t="s">
        <v>26</v>
      </c>
      <c r="J158">
        <v>8</v>
      </c>
      <c r="K158" t="str">
        <f t="shared" si="2"/>
        <v>26–35</v>
      </c>
      <c r="L158" t="str">
        <f>IF(Table1[[#This Row],[Daily_Screen_Time(hrs)]]&lt;=3,"Low",IF(Table1[[#This Row],[Daily_Screen_Time(hrs)]]&lt;=6,"Medium","High"))</f>
        <v>High</v>
      </c>
      <c r="M158" t="str">
        <f>IF(Table1[[#This Row],[Stress_Level(1-10)]]&lt;=4,"Low",IF(Table1[[#This Row],[Stress_Level(1-10)]]&lt;=7,"Medium","High"))</f>
        <v>Medium</v>
      </c>
      <c r="N158" t="str">
        <f>IF(Table1[[#This Row],[Happiness_Index(1-10)]]&lt;=4,"Low",IF(Table1[[#This Row],[Happiness_Index(1-10)]]&lt;=7,"Normal","High"))</f>
        <v>High</v>
      </c>
    </row>
    <row r="159" spans="1:14" x14ac:dyDescent="0.25">
      <c r="A159" t="s">
        <v>176</v>
      </c>
      <c r="B159">
        <v>32</v>
      </c>
      <c r="C159" t="s">
        <v>11</v>
      </c>
      <c r="D159">
        <v>7.3</v>
      </c>
      <c r="E159">
        <v>5</v>
      </c>
      <c r="F159">
        <v>7</v>
      </c>
      <c r="G159">
        <v>1</v>
      </c>
      <c r="H159">
        <v>3</v>
      </c>
      <c r="I159" t="s">
        <v>17</v>
      </c>
      <c r="J159">
        <v>8</v>
      </c>
      <c r="K159" t="str">
        <f t="shared" si="2"/>
        <v>26–35</v>
      </c>
      <c r="L159" t="str">
        <f>IF(Table1[[#This Row],[Daily_Screen_Time(hrs)]]&lt;=3,"Low",IF(Table1[[#This Row],[Daily_Screen_Time(hrs)]]&lt;=6,"Medium","High"))</f>
        <v>High</v>
      </c>
      <c r="M159" t="str">
        <f>IF(Table1[[#This Row],[Stress_Level(1-10)]]&lt;=4,"Low",IF(Table1[[#This Row],[Stress_Level(1-10)]]&lt;=7,"Medium","High"))</f>
        <v>Medium</v>
      </c>
      <c r="N159" t="str">
        <f>IF(Table1[[#This Row],[Happiness_Index(1-10)]]&lt;=4,"Low",IF(Table1[[#This Row],[Happiness_Index(1-10)]]&lt;=7,"Normal","High"))</f>
        <v>High</v>
      </c>
    </row>
    <row r="160" spans="1:14" x14ac:dyDescent="0.25">
      <c r="A160" t="s">
        <v>177</v>
      </c>
      <c r="B160">
        <v>39</v>
      </c>
      <c r="C160" t="s">
        <v>11</v>
      </c>
      <c r="D160">
        <v>7.5</v>
      </c>
      <c r="E160">
        <v>5</v>
      </c>
      <c r="F160">
        <v>6</v>
      </c>
      <c r="G160">
        <v>6</v>
      </c>
      <c r="H160">
        <v>3</v>
      </c>
      <c r="I160" t="s">
        <v>26</v>
      </c>
      <c r="J160">
        <v>7</v>
      </c>
      <c r="K160" t="str">
        <f t="shared" si="2"/>
        <v>36–45</v>
      </c>
      <c r="L160" t="str">
        <f>IF(Table1[[#This Row],[Daily_Screen_Time(hrs)]]&lt;=3,"Low",IF(Table1[[#This Row],[Daily_Screen_Time(hrs)]]&lt;=6,"Medium","High"))</f>
        <v>High</v>
      </c>
      <c r="M160" t="str">
        <f>IF(Table1[[#This Row],[Stress_Level(1-10)]]&lt;=4,"Low",IF(Table1[[#This Row],[Stress_Level(1-10)]]&lt;=7,"Medium","High"))</f>
        <v>Medium</v>
      </c>
      <c r="N160" t="str">
        <f>IF(Table1[[#This Row],[Happiness_Index(1-10)]]&lt;=4,"Low",IF(Table1[[#This Row],[Happiness_Index(1-10)]]&lt;=7,"Normal","High"))</f>
        <v>Normal</v>
      </c>
    </row>
    <row r="161" spans="1:14" x14ac:dyDescent="0.25">
      <c r="A161" t="s">
        <v>178</v>
      </c>
      <c r="B161">
        <v>20</v>
      </c>
      <c r="C161" t="s">
        <v>11</v>
      </c>
      <c r="D161">
        <v>7.9</v>
      </c>
      <c r="E161">
        <v>5</v>
      </c>
      <c r="F161">
        <v>9</v>
      </c>
      <c r="G161">
        <v>2</v>
      </c>
      <c r="H161">
        <v>4</v>
      </c>
      <c r="I161" t="s">
        <v>26</v>
      </c>
      <c r="J161">
        <v>5</v>
      </c>
      <c r="K161" t="str">
        <f t="shared" si="2"/>
        <v>15–25</v>
      </c>
      <c r="L161" t="str">
        <f>IF(Table1[[#This Row],[Daily_Screen_Time(hrs)]]&lt;=3,"Low",IF(Table1[[#This Row],[Daily_Screen_Time(hrs)]]&lt;=6,"Medium","High"))</f>
        <v>High</v>
      </c>
      <c r="M161" t="str">
        <f>IF(Table1[[#This Row],[Stress_Level(1-10)]]&lt;=4,"Low",IF(Table1[[#This Row],[Stress_Level(1-10)]]&lt;=7,"Medium","High"))</f>
        <v>High</v>
      </c>
      <c r="N161" t="str">
        <f>IF(Table1[[#This Row],[Happiness_Index(1-10)]]&lt;=4,"Low",IF(Table1[[#This Row],[Happiness_Index(1-10)]]&lt;=7,"Normal","High"))</f>
        <v>Normal</v>
      </c>
    </row>
    <row r="162" spans="1:14" x14ac:dyDescent="0.25">
      <c r="A162" t="s">
        <v>179</v>
      </c>
      <c r="B162">
        <v>49</v>
      </c>
      <c r="C162" t="s">
        <v>11</v>
      </c>
      <c r="D162">
        <v>5.0999999999999996</v>
      </c>
      <c r="E162">
        <v>5</v>
      </c>
      <c r="F162">
        <v>7</v>
      </c>
      <c r="G162">
        <v>6</v>
      </c>
      <c r="H162">
        <v>3</v>
      </c>
      <c r="I162" t="s">
        <v>17</v>
      </c>
      <c r="J162">
        <v>8</v>
      </c>
      <c r="K162" t="str">
        <f t="shared" si="2"/>
        <v>46+</v>
      </c>
      <c r="L162" t="str">
        <f>IF(Table1[[#This Row],[Daily_Screen_Time(hrs)]]&lt;=3,"Low",IF(Table1[[#This Row],[Daily_Screen_Time(hrs)]]&lt;=6,"Medium","High"))</f>
        <v>Medium</v>
      </c>
      <c r="M162" t="str">
        <f>IF(Table1[[#This Row],[Stress_Level(1-10)]]&lt;=4,"Low",IF(Table1[[#This Row],[Stress_Level(1-10)]]&lt;=7,"Medium","High"))</f>
        <v>Medium</v>
      </c>
      <c r="N162" t="str">
        <f>IF(Table1[[#This Row],[Happiness_Index(1-10)]]&lt;=4,"Low",IF(Table1[[#This Row],[Happiness_Index(1-10)]]&lt;=7,"Normal","High"))</f>
        <v>High</v>
      </c>
    </row>
    <row r="163" spans="1:14" x14ac:dyDescent="0.25">
      <c r="A163" t="s">
        <v>180</v>
      </c>
      <c r="B163">
        <v>21</v>
      </c>
      <c r="C163" t="s">
        <v>19</v>
      </c>
      <c r="D163">
        <v>3.4</v>
      </c>
      <c r="E163">
        <v>9</v>
      </c>
      <c r="F163">
        <v>7</v>
      </c>
      <c r="G163">
        <v>5</v>
      </c>
      <c r="H163">
        <v>1</v>
      </c>
      <c r="I163" t="s">
        <v>17</v>
      </c>
      <c r="J163">
        <v>8</v>
      </c>
      <c r="K163" t="str">
        <f t="shared" si="2"/>
        <v>15–25</v>
      </c>
      <c r="L163" t="str">
        <f>IF(Table1[[#This Row],[Daily_Screen_Time(hrs)]]&lt;=3,"Low",IF(Table1[[#This Row],[Daily_Screen_Time(hrs)]]&lt;=6,"Medium","High"))</f>
        <v>Medium</v>
      </c>
      <c r="M163" t="str">
        <f>IF(Table1[[#This Row],[Stress_Level(1-10)]]&lt;=4,"Low",IF(Table1[[#This Row],[Stress_Level(1-10)]]&lt;=7,"Medium","High"))</f>
        <v>Medium</v>
      </c>
      <c r="N163" t="str">
        <f>IF(Table1[[#This Row],[Happiness_Index(1-10)]]&lt;=4,"Low",IF(Table1[[#This Row],[Happiness_Index(1-10)]]&lt;=7,"Normal","High"))</f>
        <v>High</v>
      </c>
    </row>
    <row r="164" spans="1:14" x14ac:dyDescent="0.25">
      <c r="A164" t="s">
        <v>181</v>
      </c>
      <c r="B164">
        <v>37</v>
      </c>
      <c r="C164" t="s">
        <v>19</v>
      </c>
      <c r="D164">
        <v>5.3</v>
      </c>
      <c r="E164">
        <v>7</v>
      </c>
      <c r="F164">
        <v>6</v>
      </c>
      <c r="G164">
        <v>4</v>
      </c>
      <c r="H164">
        <v>0</v>
      </c>
      <c r="I164" t="s">
        <v>26</v>
      </c>
      <c r="J164">
        <v>10</v>
      </c>
      <c r="K164" t="str">
        <f t="shared" si="2"/>
        <v>36–45</v>
      </c>
      <c r="L164" t="str">
        <f>IF(Table1[[#This Row],[Daily_Screen_Time(hrs)]]&lt;=3,"Low",IF(Table1[[#This Row],[Daily_Screen_Time(hrs)]]&lt;=6,"Medium","High"))</f>
        <v>Medium</v>
      </c>
      <c r="M164" t="str">
        <f>IF(Table1[[#This Row],[Stress_Level(1-10)]]&lt;=4,"Low",IF(Table1[[#This Row],[Stress_Level(1-10)]]&lt;=7,"Medium","High"))</f>
        <v>Medium</v>
      </c>
      <c r="N164" t="str">
        <f>IF(Table1[[#This Row],[Happiness_Index(1-10)]]&lt;=4,"Low",IF(Table1[[#This Row],[Happiness_Index(1-10)]]&lt;=7,"Normal","High"))</f>
        <v>High</v>
      </c>
    </row>
    <row r="165" spans="1:14" x14ac:dyDescent="0.25">
      <c r="A165" t="s">
        <v>182</v>
      </c>
      <c r="B165">
        <v>26</v>
      </c>
      <c r="C165" t="s">
        <v>11</v>
      </c>
      <c r="D165">
        <v>6.6</v>
      </c>
      <c r="E165">
        <v>6</v>
      </c>
      <c r="F165">
        <v>8</v>
      </c>
      <c r="G165">
        <v>4</v>
      </c>
      <c r="H165">
        <v>0</v>
      </c>
      <c r="I165" t="s">
        <v>12</v>
      </c>
      <c r="J165">
        <v>8</v>
      </c>
      <c r="K165" t="str">
        <f t="shared" si="2"/>
        <v>26–35</v>
      </c>
      <c r="L165" t="str">
        <f>IF(Table1[[#This Row],[Daily_Screen_Time(hrs)]]&lt;=3,"Low",IF(Table1[[#This Row],[Daily_Screen_Time(hrs)]]&lt;=6,"Medium","High"))</f>
        <v>High</v>
      </c>
      <c r="M165" t="str">
        <f>IF(Table1[[#This Row],[Stress_Level(1-10)]]&lt;=4,"Low",IF(Table1[[#This Row],[Stress_Level(1-10)]]&lt;=7,"Medium","High"))</f>
        <v>High</v>
      </c>
      <c r="N165" t="str">
        <f>IF(Table1[[#This Row],[Happiness_Index(1-10)]]&lt;=4,"Low",IF(Table1[[#This Row],[Happiness_Index(1-10)]]&lt;=7,"Normal","High"))</f>
        <v>High</v>
      </c>
    </row>
    <row r="166" spans="1:14" x14ac:dyDescent="0.25">
      <c r="A166" t="s">
        <v>183</v>
      </c>
      <c r="B166">
        <v>31</v>
      </c>
      <c r="C166" t="s">
        <v>14</v>
      </c>
      <c r="D166">
        <v>3.3</v>
      </c>
      <c r="E166">
        <v>9</v>
      </c>
      <c r="F166">
        <v>5</v>
      </c>
      <c r="G166">
        <v>0</v>
      </c>
      <c r="H166">
        <v>2</v>
      </c>
      <c r="I166" t="s">
        <v>17</v>
      </c>
      <c r="J166">
        <v>10</v>
      </c>
      <c r="K166" t="str">
        <f t="shared" si="2"/>
        <v>26–35</v>
      </c>
      <c r="L166" t="str">
        <f>IF(Table1[[#This Row],[Daily_Screen_Time(hrs)]]&lt;=3,"Low",IF(Table1[[#This Row],[Daily_Screen_Time(hrs)]]&lt;=6,"Medium","High"))</f>
        <v>Medium</v>
      </c>
      <c r="M166" t="str">
        <f>IF(Table1[[#This Row],[Stress_Level(1-10)]]&lt;=4,"Low",IF(Table1[[#This Row],[Stress_Level(1-10)]]&lt;=7,"Medium","High"))</f>
        <v>Medium</v>
      </c>
      <c r="N166" t="str">
        <f>IF(Table1[[#This Row],[Happiness_Index(1-10)]]&lt;=4,"Low",IF(Table1[[#This Row],[Happiness_Index(1-10)]]&lt;=7,"Normal","High"))</f>
        <v>High</v>
      </c>
    </row>
    <row r="167" spans="1:14" x14ac:dyDescent="0.25">
      <c r="A167" t="s">
        <v>184</v>
      </c>
      <c r="B167">
        <v>48</v>
      </c>
      <c r="C167" t="s">
        <v>19</v>
      </c>
      <c r="D167">
        <v>8.5</v>
      </c>
      <c r="E167">
        <v>4</v>
      </c>
      <c r="F167">
        <v>10</v>
      </c>
      <c r="G167">
        <v>3</v>
      </c>
      <c r="H167">
        <v>3</v>
      </c>
      <c r="I167" t="s">
        <v>15</v>
      </c>
      <c r="J167">
        <v>8</v>
      </c>
      <c r="K167" t="str">
        <f t="shared" si="2"/>
        <v>46+</v>
      </c>
      <c r="L167" t="str">
        <f>IF(Table1[[#This Row],[Daily_Screen_Time(hrs)]]&lt;=3,"Low",IF(Table1[[#This Row],[Daily_Screen_Time(hrs)]]&lt;=6,"Medium","High"))</f>
        <v>High</v>
      </c>
      <c r="M167" t="str">
        <f>IF(Table1[[#This Row],[Stress_Level(1-10)]]&lt;=4,"Low",IF(Table1[[#This Row],[Stress_Level(1-10)]]&lt;=7,"Medium","High"))</f>
        <v>High</v>
      </c>
      <c r="N167" t="str">
        <f>IF(Table1[[#This Row],[Happiness_Index(1-10)]]&lt;=4,"Low",IF(Table1[[#This Row],[Happiness_Index(1-10)]]&lt;=7,"Normal","High"))</f>
        <v>High</v>
      </c>
    </row>
    <row r="168" spans="1:14" x14ac:dyDescent="0.25">
      <c r="A168" t="s">
        <v>185</v>
      </c>
      <c r="B168">
        <v>24</v>
      </c>
      <c r="C168" t="s">
        <v>11</v>
      </c>
      <c r="D168">
        <v>7.1</v>
      </c>
      <c r="E168">
        <v>6</v>
      </c>
      <c r="F168">
        <v>8</v>
      </c>
      <c r="G168">
        <v>6</v>
      </c>
      <c r="H168">
        <v>1</v>
      </c>
      <c r="I168" t="s">
        <v>20</v>
      </c>
      <c r="J168">
        <v>7</v>
      </c>
      <c r="K168" t="str">
        <f t="shared" si="2"/>
        <v>15–25</v>
      </c>
      <c r="L168" t="str">
        <f>IF(Table1[[#This Row],[Daily_Screen_Time(hrs)]]&lt;=3,"Low",IF(Table1[[#This Row],[Daily_Screen_Time(hrs)]]&lt;=6,"Medium","High"))</f>
        <v>High</v>
      </c>
      <c r="M168" t="str">
        <f>IF(Table1[[#This Row],[Stress_Level(1-10)]]&lt;=4,"Low",IF(Table1[[#This Row],[Stress_Level(1-10)]]&lt;=7,"Medium","High"))</f>
        <v>High</v>
      </c>
      <c r="N168" t="str">
        <f>IF(Table1[[#This Row],[Happiness_Index(1-10)]]&lt;=4,"Low",IF(Table1[[#This Row],[Happiness_Index(1-10)]]&lt;=7,"Normal","High"))</f>
        <v>Normal</v>
      </c>
    </row>
    <row r="169" spans="1:14" x14ac:dyDescent="0.25">
      <c r="A169" t="s">
        <v>186</v>
      </c>
      <c r="B169">
        <v>21</v>
      </c>
      <c r="C169" t="s">
        <v>11</v>
      </c>
      <c r="D169">
        <v>5.0999999999999996</v>
      </c>
      <c r="E169">
        <v>6</v>
      </c>
      <c r="F169">
        <v>5</v>
      </c>
      <c r="G169">
        <v>4</v>
      </c>
      <c r="H169">
        <v>4</v>
      </c>
      <c r="I169" t="s">
        <v>22</v>
      </c>
      <c r="J169">
        <v>10</v>
      </c>
      <c r="K169" t="str">
        <f t="shared" si="2"/>
        <v>15–25</v>
      </c>
      <c r="L169" t="str">
        <f>IF(Table1[[#This Row],[Daily_Screen_Time(hrs)]]&lt;=3,"Low",IF(Table1[[#This Row],[Daily_Screen_Time(hrs)]]&lt;=6,"Medium","High"))</f>
        <v>Medium</v>
      </c>
      <c r="M169" t="str">
        <f>IF(Table1[[#This Row],[Stress_Level(1-10)]]&lt;=4,"Low",IF(Table1[[#This Row],[Stress_Level(1-10)]]&lt;=7,"Medium","High"))</f>
        <v>Medium</v>
      </c>
      <c r="N169" t="str">
        <f>IF(Table1[[#This Row],[Happiness_Index(1-10)]]&lt;=4,"Low",IF(Table1[[#This Row],[Happiness_Index(1-10)]]&lt;=7,"Normal","High"))</f>
        <v>High</v>
      </c>
    </row>
    <row r="170" spans="1:14" x14ac:dyDescent="0.25">
      <c r="A170" t="s">
        <v>187</v>
      </c>
      <c r="B170">
        <v>31</v>
      </c>
      <c r="C170" t="s">
        <v>11</v>
      </c>
      <c r="D170">
        <v>4.2</v>
      </c>
      <c r="E170">
        <v>8</v>
      </c>
      <c r="F170">
        <v>6</v>
      </c>
      <c r="G170">
        <v>3</v>
      </c>
      <c r="H170">
        <v>2</v>
      </c>
      <c r="I170" t="s">
        <v>26</v>
      </c>
      <c r="J170">
        <v>10</v>
      </c>
      <c r="K170" t="str">
        <f t="shared" si="2"/>
        <v>26–35</v>
      </c>
      <c r="L170" t="str">
        <f>IF(Table1[[#This Row],[Daily_Screen_Time(hrs)]]&lt;=3,"Low",IF(Table1[[#This Row],[Daily_Screen_Time(hrs)]]&lt;=6,"Medium","High"))</f>
        <v>Medium</v>
      </c>
      <c r="M170" t="str">
        <f>IF(Table1[[#This Row],[Stress_Level(1-10)]]&lt;=4,"Low",IF(Table1[[#This Row],[Stress_Level(1-10)]]&lt;=7,"Medium","High"))</f>
        <v>Medium</v>
      </c>
      <c r="N170" t="str">
        <f>IF(Table1[[#This Row],[Happiness_Index(1-10)]]&lt;=4,"Low",IF(Table1[[#This Row],[Happiness_Index(1-10)]]&lt;=7,"Normal","High"))</f>
        <v>High</v>
      </c>
    </row>
    <row r="171" spans="1:14" x14ac:dyDescent="0.25">
      <c r="A171" t="s">
        <v>188</v>
      </c>
      <c r="B171">
        <v>44</v>
      </c>
      <c r="C171" t="s">
        <v>11</v>
      </c>
      <c r="D171">
        <v>4.3</v>
      </c>
      <c r="E171">
        <v>8</v>
      </c>
      <c r="F171">
        <v>6</v>
      </c>
      <c r="G171">
        <v>6</v>
      </c>
      <c r="H171">
        <v>2</v>
      </c>
      <c r="I171" t="s">
        <v>26</v>
      </c>
      <c r="J171">
        <v>10</v>
      </c>
      <c r="K171" t="str">
        <f t="shared" si="2"/>
        <v>36–45</v>
      </c>
      <c r="L171" t="str">
        <f>IF(Table1[[#This Row],[Daily_Screen_Time(hrs)]]&lt;=3,"Low",IF(Table1[[#This Row],[Daily_Screen_Time(hrs)]]&lt;=6,"Medium","High"))</f>
        <v>Medium</v>
      </c>
      <c r="M171" t="str">
        <f>IF(Table1[[#This Row],[Stress_Level(1-10)]]&lt;=4,"Low",IF(Table1[[#This Row],[Stress_Level(1-10)]]&lt;=7,"Medium","High"))</f>
        <v>Medium</v>
      </c>
      <c r="N171" t="str">
        <f>IF(Table1[[#This Row],[Happiness_Index(1-10)]]&lt;=4,"Low",IF(Table1[[#This Row],[Happiness_Index(1-10)]]&lt;=7,"Normal","High"))</f>
        <v>High</v>
      </c>
    </row>
    <row r="172" spans="1:14" x14ac:dyDescent="0.25">
      <c r="A172" t="s">
        <v>189</v>
      </c>
      <c r="B172">
        <v>18</v>
      </c>
      <c r="C172" t="s">
        <v>11</v>
      </c>
      <c r="D172">
        <v>5.6</v>
      </c>
      <c r="E172">
        <v>5</v>
      </c>
      <c r="F172">
        <v>7</v>
      </c>
      <c r="G172">
        <v>3</v>
      </c>
      <c r="H172">
        <v>1</v>
      </c>
      <c r="I172" t="s">
        <v>22</v>
      </c>
      <c r="J172">
        <v>6</v>
      </c>
      <c r="K172" t="str">
        <f t="shared" si="2"/>
        <v>15–25</v>
      </c>
      <c r="L172" t="str">
        <f>IF(Table1[[#This Row],[Daily_Screen_Time(hrs)]]&lt;=3,"Low",IF(Table1[[#This Row],[Daily_Screen_Time(hrs)]]&lt;=6,"Medium","High"))</f>
        <v>Medium</v>
      </c>
      <c r="M172" t="str">
        <f>IF(Table1[[#This Row],[Stress_Level(1-10)]]&lt;=4,"Low",IF(Table1[[#This Row],[Stress_Level(1-10)]]&lt;=7,"Medium","High"))</f>
        <v>Medium</v>
      </c>
      <c r="N172" t="str">
        <f>IF(Table1[[#This Row],[Happiness_Index(1-10)]]&lt;=4,"Low",IF(Table1[[#This Row],[Happiness_Index(1-10)]]&lt;=7,"Normal","High"))</f>
        <v>Normal</v>
      </c>
    </row>
    <row r="173" spans="1:14" x14ac:dyDescent="0.25">
      <c r="A173" t="s">
        <v>190</v>
      </c>
      <c r="B173">
        <v>35</v>
      </c>
      <c r="C173" t="s">
        <v>11</v>
      </c>
      <c r="D173">
        <v>5.0999999999999996</v>
      </c>
      <c r="E173">
        <v>7</v>
      </c>
      <c r="F173">
        <v>7</v>
      </c>
      <c r="G173">
        <v>2</v>
      </c>
      <c r="H173">
        <v>0</v>
      </c>
      <c r="I173" t="s">
        <v>12</v>
      </c>
      <c r="J173">
        <v>7</v>
      </c>
      <c r="K173" t="str">
        <f t="shared" si="2"/>
        <v>26–35</v>
      </c>
      <c r="L173" t="str">
        <f>IF(Table1[[#This Row],[Daily_Screen_Time(hrs)]]&lt;=3,"Low",IF(Table1[[#This Row],[Daily_Screen_Time(hrs)]]&lt;=6,"Medium","High"))</f>
        <v>Medium</v>
      </c>
      <c r="M173" t="str">
        <f>IF(Table1[[#This Row],[Stress_Level(1-10)]]&lt;=4,"Low",IF(Table1[[#This Row],[Stress_Level(1-10)]]&lt;=7,"Medium","High"))</f>
        <v>Medium</v>
      </c>
      <c r="N173" t="str">
        <f>IF(Table1[[#This Row],[Happiness_Index(1-10)]]&lt;=4,"Low",IF(Table1[[#This Row],[Happiness_Index(1-10)]]&lt;=7,"Normal","High"))</f>
        <v>Normal</v>
      </c>
    </row>
    <row r="174" spans="1:14" x14ac:dyDescent="0.25">
      <c r="A174" t="s">
        <v>191</v>
      </c>
      <c r="B174">
        <v>34</v>
      </c>
      <c r="C174" t="s">
        <v>11</v>
      </c>
      <c r="D174">
        <v>7.2</v>
      </c>
      <c r="E174">
        <v>6</v>
      </c>
      <c r="F174">
        <v>6</v>
      </c>
      <c r="G174">
        <v>3</v>
      </c>
      <c r="H174">
        <v>3</v>
      </c>
      <c r="I174" t="s">
        <v>22</v>
      </c>
      <c r="J174">
        <v>8</v>
      </c>
      <c r="K174" t="str">
        <f t="shared" si="2"/>
        <v>26–35</v>
      </c>
      <c r="L174" t="str">
        <f>IF(Table1[[#This Row],[Daily_Screen_Time(hrs)]]&lt;=3,"Low",IF(Table1[[#This Row],[Daily_Screen_Time(hrs)]]&lt;=6,"Medium","High"))</f>
        <v>High</v>
      </c>
      <c r="M174" t="str">
        <f>IF(Table1[[#This Row],[Stress_Level(1-10)]]&lt;=4,"Low",IF(Table1[[#This Row],[Stress_Level(1-10)]]&lt;=7,"Medium","High"))</f>
        <v>Medium</v>
      </c>
      <c r="N174" t="str">
        <f>IF(Table1[[#This Row],[Happiness_Index(1-10)]]&lt;=4,"Low",IF(Table1[[#This Row],[Happiness_Index(1-10)]]&lt;=7,"Normal","High"))</f>
        <v>High</v>
      </c>
    </row>
    <row r="175" spans="1:14" x14ac:dyDescent="0.25">
      <c r="A175" t="s">
        <v>192</v>
      </c>
      <c r="B175">
        <v>41</v>
      </c>
      <c r="C175" t="s">
        <v>11</v>
      </c>
      <c r="D175">
        <v>4.9000000000000004</v>
      </c>
      <c r="E175">
        <v>7</v>
      </c>
      <c r="F175">
        <v>5</v>
      </c>
      <c r="G175">
        <v>5</v>
      </c>
      <c r="H175">
        <v>5</v>
      </c>
      <c r="I175" t="s">
        <v>17</v>
      </c>
      <c r="J175">
        <v>10</v>
      </c>
      <c r="K175" t="str">
        <f t="shared" si="2"/>
        <v>36–45</v>
      </c>
      <c r="L175" t="str">
        <f>IF(Table1[[#This Row],[Daily_Screen_Time(hrs)]]&lt;=3,"Low",IF(Table1[[#This Row],[Daily_Screen_Time(hrs)]]&lt;=6,"Medium","High"))</f>
        <v>Medium</v>
      </c>
      <c r="M175" t="str">
        <f>IF(Table1[[#This Row],[Stress_Level(1-10)]]&lt;=4,"Low",IF(Table1[[#This Row],[Stress_Level(1-10)]]&lt;=7,"Medium","High"))</f>
        <v>Medium</v>
      </c>
      <c r="N175" t="str">
        <f>IF(Table1[[#This Row],[Happiness_Index(1-10)]]&lt;=4,"Low",IF(Table1[[#This Row],[Happiness_Index(1-10)]]&lt;=7,"Normal","High"))</f>
        <v>High</v>
      </c>
    </row>
    <row r="176" spans="1:14" x14ac:dyDescent="0.25">
      <c r="A176" t="s">
        <v>193</v>
      </c>
      <c r="B176">
        <v>18</v>
      </c>
      <c r="C176" t="s">
        <v>19</v>
      </c>
      <c r="D176">
        <v>6.4</v>
      </c>
      <c r="E176">
        <v>6</v>
      </c>
      <c r="F176">
        <v>8</v>
      </c>
      <c r="G176">
        <v>0</v>
      </c>
      <c r="H176">
        <v>2</v>
      </c>
      <c r="I176" t="s">
        <v>22</v>
      </c>
      <c r="J176">
        <v>8</v>
      </c>
      <c r="K176" t="str">
        <f t="shared" si="2"/>
        <v>15–25</v>
      </c>
      <c r="L176" t="str">
        <f>IF(Table1[[#This Row],[Daily_Screen_Time(hrs)]]&lt;=3,"Low",IF(Table1[[#This Row],[Daily_Screen_Time(hrs)]]&lt;=6,"Medium","High"))</f>
        <v>High</v>
      </c>
      <c r="M176" t="str">
        <f>IF(Table1[[#This Row],[Stress_Level(1-10)]]&lt;=4,"Low",IF(Table1[[#This Row],[Stress_Level(1-10)]]&lt;=7,"Medium","High"))</f>
        <v>High</v>
      </c>
      <c r="N176" t="str">
        <f>IF(Table1[[#This Row],[Happiness_Index(1-10)]]&lt;=4,"Low",IF(Table1[[#This Row],[Happiness_Index(1-10)]]&lt;=7,"Normal","High"))</f>
        <v>High</v>
      </c>
    </row>
    <row r="177" spans="1:14" x14ac:dyDescent="0.25">
      <c r="A177" t="s">
        <v>194</v>
      </c>
      <c r="B177">
        <v>34</v>
      </c>
      <c r="C177" t="s">
        <v>11</v>
      </c>
      <c r="D177">
        <v>5.4</v>
      </c>
      <c r="E177">
        <v>6</v>
      </c>
      <c r="F177">
        <v>6</v>
      </c>
      <c r="G177">
        <v>4</v>
      </c>
      <c r="H177">
        <v>0</v>
      </c>
      <c r="I177" t="s">
        <v>26</v>
      </c>
      <c r="J177">
        <v>10</v>
      </c>
      <c r="K177" t="str">
        <f t="shared" si="2"/>
        <v>26–35</v>
      </c>
      <c r="L177" t="str">
        <f>IF(Table1[[#This Row],[Daily_Screen_Time(hrs)]]&lt;=3,"Low",IF(Table1[[#This Row],[Daily_Screen_Time(hrs)]]&lt;=6,"Medium","High"))</f>
        <v>Medium</v>
      </c>
      <c r="M177" t="str">
        <f>IF(Table1[[#This Row],[Stress_Level(1-10)]]&lt;=4,"Low",IF(Table1[[#This Row],[Stress_Level(1-10)]]&lt;=7,"Medium","High"))</f>
        <v>Medium</v>
      </c>
      <c r="N177" t="str">
        <f>IF(Table1[[#This Row],[Happiness_Index(1-10)]]&lt;=4,"Low",IF(Table1[[#This Row],[Happiness_Index(1-10)]]&lt;=7,"Normal","High"))</f>
        <v>High</v>
      </c>
    </row>
    <row r="178" spans="1:14" x14ac:dyDescent="0.25">
      <c r="A178" t="s">
        <v>195</v>
      </c>
      <c r="B178">
        <v>35</v>
      </c>
      <c r="C178" t="s">
        <v>19</v>
      </c>
      <c r="D178">
        <v>6</v>
      </c>
      <c r="E178">
        <v>7</v>
      </c>
      <c r="F178">
        <v>7</v>
      </c>
      <c r="G178">
        <v>5</v>
      </c>
      <c r="H178">
        <v>4</v>
      </c>
      <c r="I178" t="s">
        <v>22</v>
      </c>
      <c r="J178">
        <v>8</v>
      </c>
      <c r="K178" t="str">
        <f t="shared" si="2"/>
        <v>26–35</v>
      </c>
      <c r="L178" t="str">
        <f>IF(Table1[[#This Row],[Daily_Screen_Time(hrs)]]&lt;=3,"Low",IF(Table1[[#This Row],[Daily_Screen_Time(hrs)]]&lt;=6,"Medium","High"))</f>
        <v>Medium</v>
      </c>
      <c r="M178" t="str">
        <f>IF(Table1[[#This Row],[Stress_Level(1-10)]]&lt;=4,"Low",IF(Table1[[#This Row],[Stress_Level(1-10)]]&lt;=7,"Medium","High"))</f>
        <v>Medium</v>
      </c>
      <c r="N178" t="str">
        <f>IF(Table1[[#This Row],[Happiness_Index(1-10)]]&lt;=4,"Low",IF(Table1[[#This Row],[Happiness_Index(1-10)]]&lt;=7,"Normal","High"))</f>
        <v>High</v>
      </c>
    </row>
    <row r="179" spans="1:14" x14ac:dyDescent="0.25">
      <c r="A179" t="s">
        <v>196</v>
      </c>
      <c r="B179">
        <v>47</v>
      </c>
      <c r="C179" t="s">
        <v>11</v>
      </c>
      <c r="D179">
        <v>5.0999999999999996</v>
      </c>
      <c r="E179">
        <v>7</v>
      </c>
      <c r="F179">
        <v>4</v>
      </c>
      <c r="G179">
        <v>2</v>
      </c>
      <c r="H179">
        <v>0</v>
      </c>
      <c r="I179" t="s">
        <v>20</v>
      </c>
      <c r="J179">
        <v>9</v>
      </c>
      <c r="K179" t="str">
        <f t="shared" si="2"/>
        <v>46+</v>
      </c>
      <c r="L179" t="str">
        <f>IF(Table1[[#This Row],[Daily_Screen_Time(hrs)]]&lt;=3,"Low",IF(Table1[[#This Row],[Daily_Screen_Time(hrs)]]&lt;=6,"Medium","High"))</f>
        <v>Medium</v>
      </c>
      <c r="M179" t="str">
        <f>IF(Table1[[#This Row],[Stress_Level(1-10)]]&lt;=4,"Low",IF(Table1[[#This Row],[Stress_Level(1-10)]]&lt;=7,"Medium","High"))</f>
        <v>Low</v>
      </c>
      <c r="N179" t="str">
        <f>IF(Table1[[#This Row],[Happiness_Index(1-10)]]&lt;=4,"Low",IF(Table1[[#This Row],[Happiness_Index(1-10)]]&lt;=7,"Normal","High"))</f>
        <v>High</v>
      </c>
    </row>
    <row r="180" spans="1:14" x14ac:dyDescent="0.25">
      <c r="A180" t="s">
        <v>197</v>
      </c>
      <c r="B180">
        <v>22</v>
      </c>
      <c r="C180" t="s">
        <v>14</v>
      </c>
      <c r="D180">
        <v>6.8</v>
      </c>
      <c r="E180">
        <v>5</v>
      </c>
      <c r="F180">
        <v>10</v>
      </c>
      <c r="G180">
        <v>5</v>
      </c>
      <c r="H180">
        <v>1</v>
      </c>
      <c r="I180" t="s">
        <v>15</v>
      </c>
      <c r="J180">
        <v>7</v>
      </c>
      <c r="K180" t="str">
        <f t="shared" si="2"/>
        <v>15–25</v>
      </c>
      <c r="L180" t="str">
        <f>IF(Table1[[#This Row],[Daily_Screen_Time(hrs)]]&lt;=3,"Low",IF(Table1[[#This Row],[Daily_Screen_Time(hrs)]]&lt;=6,"Medium","High"))</f>
        <v>High</v>
      </c>
      <c r="M180" t="str">
        <f>IF(Table1[[#This Row],[Stress_Level(1-10)]]&lt;=4,"Low",IF(Table1[[#This Row],[Stress_Level(1-10)]]&lt;=7,"Medium","High"))</f>
        <v>High</v>
      </c>
      <c r="N180" t="str">
        <f>IF(Table1[[#This Row],[Happiness_Index(1-10)]]&lt;=4,"Low",IF(Table1[[#This Row],[Happiness_Index(1-10)]]&lt;=7,"Normal","High"))</f>
        <v>Normal</v>
      </c>
    </row>
    <row r="181" spans="1:14" x14ac:dyDescent="0.25">
      <c r="A181" t="s">
        <v>198</v>
      </c>
      <c r="B181">
        <v>48</v>
      </c>
      <c r="C181" t="s">
        <v>11</v>
      </c>
      <c r="D181">
        <v>6.8</v>
      </c>
      <c r="E181">
        <v>4</v>
      </c>
      <c r="F181">
        <v>7</v>
      </c>
      <c r="G181">
        <v>4</v>
      </c>
      <c r="H181">
        <v>2</v>
      </c>
      <c r="I181" t="s">
        <v>17</v>
      </c>
      <c r="J181">
        <v>7</v>
      </c>
      <c r="K181" t="str">
        <f t="shared" si="2"/>
        <v>46+</v>
      </c>
      <c r="L181" t="str">
        <f>IF(Table1[[#This Row],[Daily_Screen_Time(hrs)]]&lt;=3,"Low",IF(Table1[[#This Row],[Daily_Screen_Time(hrs)]]&lt;=6,"Medium","High"))</f>
        <v>High</v>
      </c>
      <c r="M181" t="str">
        <f>IF(Table1[[#This Row],[Stress_Level(1-10)]]&lt;=4,"Low",IF(Table1[[#This Row],[Stress_Level(1-10)]]&lt;=7,"Medium","High"))</f>
        <v>Medium</v>
      </c>
      <c r="N181" t="str">
        <f>IF(Table1[[#This Row],[Happiness_Index(1-10)]]&lt;=4,"Low",IF(Table1[[#This Row],[Happiness_Index(1-10)]]&lt;=7,"Normal","High"))</f>
        <v>Normal</v>
      </c>
    </row>
    <row r="182" spans="1:14" x14ac:dyDescent="0.25">
      <c r="A182" t="s">
        <v>199</v>
      </c>
      <c r="B182">
        <v>33</v>
      </c>
      <c r="C182" t="s">
        <v>11</v>
      </c>
      <c r="D182">
        <v>6.3</v>
      </c>
      <c r="E182">
        <v>6</v>
      </c>
      <c r="F182">
        <v>8</v>
      </c>
      <c r="G182">
        <v>7</v>
      </c>
      <c r="H182">
        <v>3</v>
      </c>
      <c r="I182" t="s">
        <v>22</v>
      </c>
      <c r="J182">
        <v>6</v>
      </c>
      <c r="K182" t="str">
        <f t="shared" si="2"/>
        <v>26–35</v>
      </c>
      <c r="L182" t="str">
        <f>IF(Table1[[#This Row],[Daily_Screen_Time(hrs)]]&lt;=3,"Low",IF(Table1[[#This Row],[Daily_Screen_Time(hrs)]]&lt;=6,"Medium","High"))</f>
        <v>High</v>
      </c>
      <c r="M182" t="str">
        <f>IF(Table1[[#This Row],[Stress_Level(1-10)]]&lt;=4,"Low",IF(Table1[[#This Row],[Stress_Level(1-10)]]&lt;=7,"Medium","High"))</f>
        <v>High</v>
      </c>
      <c r="N182" t="str">
        <f>IF(Table1[[#This Row],[Happiness_Index(1-10)]]&lt;=4,"Low",IF(Table1[[#This Row],[Happiness_Index(1-10)]]&lt;=7,"Normal","High"))</f>
        <v>Normal</v>
      </c>
    </row>
    <row r="183" spans="1:14" x14ac:dyDescent="0.25">
      <c r="A183" t="s">
        <v>200</v>
      </c>
      <c r="B183">
        <v>16</v>
      </c>
      <c r="C183" t="s">
        <v>14</v>
      </c>
      <c r="D183">
        <v>6.6</v>
      </c>
      <c r="E183">
        <v>6</v>
      </c>
      <c r="F183">
        <v>7</v>
      </c>
      <c r="G183">
        <v>1</v>
      </c>
      <c r="H183">
        <v>1</v>
      </c>
      <c r="I183" t="s">
        <v>26</v>
      </c>
      <c r="J183">
        <v>8</v>
      </c>
      <c r="K183" t="str">
        <f t="shared" si="2"/>
        <v>15–25</v>
      </c>
      <c r="L183" t="str">
        <f>IF(Table1[[#This Row],[Daily_Screen_Time(hrs)]]&lt;=3,"Low",IF(Table1[[#This Row],[Daily_Screen_Time(hrs)]]&lt;=6,"Medium","High"))</f>
        <v>High</v>
      </c>
      <c r="M183" t="str">
        <f>IF(Table1[[#This Row],[Stress_Level(1-10)]]&lt;=4,"Low",IF(Table1[[#This Row],[Stress_Level(1-10)]]&lt;=7,"Medium","High"))</f>
        <v>Medium</v>
      </c>
      <c r="N183" t="str">
        <f>IF(Table1[[#This Row],[Happiness_Index(1-10)]]&lt;=4,"Low",IF(Table1[[#This Row],[Happiness_Index(1-10)]]&lt;=7,"Normal","High"))</f>
        <v>High</v>
      </c>
    </row>
    <row r="184" spans="1:14" x14ac:dyDescent="0.25">
      <c r="A184" t="s">
        <v>201</v>
      </c>
      <c r="B184">
        <v>26</v>
      </c>
      <c r="C184" t="s">
        <v>19</v>
      </c>
      <c r="D184">
        <v>3.8</v>
      </c>
      <c r="E184">
        <v>10</v>
      </c>
      <c r="F184">
        <v>6</v>
      </c>
      <c r="G184">
        <v>5</v>
      </c>
      <c r="H184">
        <v>2</v>
      </c>
      <c r="I184" t="s">
        <v>15</v>
      </c>
      <c r="J184">
        <v>10</v>
      </c>
      <c r="K184" t="str">
        <f t="shared" si="2"/>
        <v>26–35</v>
      </c>
      <c r="L184" t="str">
        <f>IF(Table1[[#This Row],[Daily_Screen_Time(hrs)]]&lt;=3,"Low",IF(Table1[[#This Row],[Daily_Screen_Time(hrs)]]&lt;=6,"Medium","High"))</f>
        <v>Medium</v>
      </c>
      <c r="M184" t="str">
        <f>IF(Table1[[#This Row],[Stress_Level(1-10)]]&lt;=4,"Low",IF(Table1[[#This Row],[Stress_Level(1-10)]]&lt;=7,"Medium","High"))</f>
        <v>Medium</v>
      </c>
      <c r="N184" t="str">
        <f>IF(Table1[[#This Row],[Happiness_Index(1-10)]]&lt;=4,"Low",IF(Table1[[#This Row],[Happiness_Index(1-10)]]&lt;=7,"Normal","High"))</f>
        <v>High</v>
      </c>
    </row>
    <row r="185" spans="1:14" x14ac:dyDescent="0.25">
      <c r="A185" t="s">
        <v>202</v>
      </c>
      <c r="B185">
        <v>43</v>
      </c>
      <c r="C185" t="s">
        <v>19</v>
      </c>
      <c r="D185">
        <v>6.1</v>
      </c>
      <c r="E185">
        <v>7</v>
      </c>
      <c r="F185">
        <v>9</v>
      </c>
      <c r="G185">
        <v>1</v>
      </c>
      <c r="H185">
        <v>4</v>
      </c>
      <c r="I185" t="s">
        <v>17</v>
      </c>
      <c r="J185">
        <v>7</v>
      </c>
      <c r="K185" t="str">
        <f t="shared" si="2"/>
        <v>36–45</v>
      </c>
      <c r="L185" t="str">
        <f>IF(Table1[[#This Row],[Daily_Screen_Time(hrs)]]&lt;=3,"Low",IF(Table1[[#This Row],[Daily_Screen_Time(hrs)]]&lt;=6,"Medium","High"))</f>
        <v>High</v>
      </c>
      <c r="M185" t="str">
        <f>IF(Table1[[#This Row],[Stress_Level(1-10)]]&lt;=4,"Low",IF(Table1[[#This Row],[Stress_Level(1-10)]]&lt;=7,"Medium","High"))</f>
        <v>High</v>
      </c>
      <c r="N185" t="str">
        <f>IF(Table1[[#This Row],[Happiness_Index(1-10)]]&lt;=4,"Low",IF(Table1[[#This Row],[Happiness_Index(1-10)]]&lt;=7,"Normal","High"))</f>
        <v>Normal</v>
      </c>
    </row>
    <row r="186" spans="1:14" x14ac:dyDescent="0.25">
      <c r="A186" t="s">
        <v>203</v>
      </c>
      <c r="B186">
        <v>40</v>
      </c>
      <c r="C186" t="s">
        <v>11</v>
      </c>
      <c r="D186">
        <v>7.7</v>
      </c>
      <c r="E186">
        <v>3</v>
      </c>
      <c r="F186">
        <v>9</v>
      </c>
      <c r="G186">
        <v>0</v>
      </c>
      <c r="H186">
        <v>4</v>
      </c>
      <c r="I186" t="s">
        <v>26</v>
      </c>
      <c r="J186">
        <v>5</v>
      </c>
      <c r="K186" t="str">
        <f t="shared" si="2"/>
        <v>36–45</v>
      </c>
      <c r="L186" t="str">
        <f>IF(Table1[[#This Row],[Daily_Screen_Time(hrs)]]&lt;=3,"Low",IF(Table1[[#This Row],[Daily_Screen_Time(hrs)]]&lt;=6,"Medium","High"))</f>
        <v>High</v>
      </c>
      <c r="M186" t="str">
        <f>IF(Table1[[#This Row],[Stress_Level(1-10)]]&lt;=4,"Low",IF(Table1[[#This Row],[Stress_Level(1-10)]]&lt;=7,"Medium","High"))</f>
        <v>High</v>
      </c>
      <c r="N186" t="str">
        <f>IF(Table1[[#This Row],[Happiness_Index(1-10)]]&lt;=4,"Low",IF(Table1[[#This Row],[Happiness_Index(1-10)]]&lt;=7,"Normal","High"))</f>
        <v>Normal</v>
      </c>
    </row>
    <row r="187" spans="1:14" x14ac:dyDescent="0.25">
      <c r="A187" t="s">
        <v>204</v>
      </c>
      <c r="B187">
        <v>38</v>
      </c>
      <c r="C187" t="s">
        <v>11</v>
      </c>
      <c r="D187">
        <v>6.4</v>
      </c>
      <c r="E187">
        <v>6</v>
      </c>
      <c r="F187">
        <v>7</v>
      </c>
      <c r="G187">
        <v>0</v>
      </c>
      <c r="H187">
        <v>4</v>
      </c>
      <c r="I187" t="s">
        <v>12</v>
      </c>
      <c r="J187">
        <v>8</v>
      </c>
      <c r="K187" t="str">
        <f t="shared" si="2"/>
        <v>36–45</v>
      </c>
      <c r="L187" t="str">
        <f>IF(Table1[[#This Row],[Daily_Screen_Time(hrs)]]&lt;=3,"Low",IF(Table1[[#This Row],[Daily_Screen_Time(hrs)]]&lt;=6,"Medium","High"))</f>
        <v>High</v>
      </c>
      <c r="M187" t="str">
        <f>IF(Table1[[#This Row],[Stress_Level(1-10)]]&lt;=4,"Low",IF(Table1[[#This Row],[Stress_Level(1-10)]]&lt;=7,"Medium","High"))</f>
        <v>Medium</v>
      </c>
      <c r="N187" t="str">
        <f>IF(Table1[[#This Row],[Happiness_Index(1-10)]]&lt;=4,"Low",IF(Table1[[#This Row],[Happiness_Index(1-10)]]&lt;=7,"Normal","High"))</f>
        <v>High</v>
      </c>
    </row>
    <row r="188" spans="1:14" x14ac:dyDescent="0.25">
      <c r="A188" t="s">
        <v>205</v>
      </c>
      <c r="B188">
        <v>46</v>
      </c>
      <c r="C188" t="s">
        <v>19</v>
      </c>
      <c r="D188">
        <v>3.6</v>
      </c>
      <c r="E188">
        <v>9</v>
      </c>
      <c r="F188">
        <v>5</v>
      </c>
      <c r="G188">
        <v>4</v>
      </c>
      <c r="H188">
        <v>5</v>
      </c>
      <c r="I188" t="s">
        <v>20</v>
      </c>
      <c r="J188">
        <v>10</v>
      </c>
      <c r="K188" t="str">
        <f t="shared" si="2"/>
        <v>46+</v>
      </c>
      <c r="L188" t="str">
        <f>IF(Table1[[#This Row],[Daily_Screen_Time(hrs)]]&lt;=3,"Low",IF(Table1[[#This Row],[Daily_Screen_Time(hrs)]]&lt;=6,"Medium","High"))</f>
        <v>Medium</v>
      </c>
      <c r="M188" t="str">
        <f>IF(Table1[[#This Row],[Stress_Level(1-10)]]&lt;=4,"Low",IF(Table1[[#This Row],[Stress_Level(1-10)]]&lt;=7,"Medium","High"))</f>
        <v>Medium</v>
      </c>
      <c r="N188" t="str">
        <f>IF(Table1[[#This Row],[Happiness_Index(1-10)]]&lt;=4,"Low",IF(Table1[[#This Row],[Happiness_Index(1-10)]]&lt;=7,"Normal","High"))</f>
        <v>High</v>
      </c>
    </row>
    <row r="189" spans="1:14" x14ac:dyDescent="0.25">
      <c r="A189" t="s">
        <v>206</v>
      </c>
      <c r="B189">
        <v>45</v>
      </c>
      <c r="C189" t="s">
        <v>19</v>
      </c>
      <c r="D189">
        <v>5.4</v>
      </c>
      <c r="E189">
        <v>7</v>
      </c>
      <c r="F189">
        <v>8</v>
      </c>
      <c r="G189">
        <v>3</v>
      </c>
      <c r="H189">
        <v>4</v>
      </c>
      <c r="I189" t="s">
        <v>12</v>
      </c>
      <c r="J189">
        <v>7</v>
      </c>
      <c r="K189" t="str">
        <f t="shared" si="2"/>
        <v>36–45</v>
      </c>
      <c r="L189" t="str">
        <f>IF(Table1[[#This Row],[Daily_Screen_Time(hrs)]]&lt;=3,"Low",IF(Table1[[#This Row],[Daily_Screen_Time(hrs)]]&lt;=6,"Medium","High"))</f>
        <v>Medium</v>
      </c>
      <c r="M189" t="str">
        <f>IF(Table1[[#This Row],[Stress_Level(1-10)]]&lt;=4,"Low",IF(Table1[[#This Row],[Stress_Level(1-10)]]&lt;=7,"Medium","High"))</f>
        <v>High</v>
      </c>
      <c r="N189" t="str">
        <f>IF(Table1[[#This Row],[Happiness_Index(1-10)]]&lt;=4,"Low",IF(Table1[[#This Row],[Happiness_Index(1-10)]]&lt;=7,"Normal","High"))</f>
        <v>Normal</v>
      </c>
    </row>
    <row r="190" spans="1:14" x14ac:dyDescent="0.25">
      <c r="A190" t="s">
        <v>207</v>
      </c>
      <c r="B190">
        <v>22</v>
      </c>
      <c r="C190" t="s">
        <v>19</v>
      </c>
      <c r="D190">
        <v>6.2</v>
      </c>
      <c r="E190">
        <v>6</v>
      </c>
      <c r="F190">
        <v>9</v>
      </c>
      <c r="G190">
        <v>2</v>
      </c>
      <c r="H190">
        <v>2</v>
      </c>
      <c r="I190" t="s">
        <v>20</v>
      </c>
      <c r="J190">
        <v>6</v>
      </c>
      <c r="K190" t="str">
        <f t="shared" si="2"/>
        <v>15–25</v>
      </c>
      <c r="L190" t="str">
        <f>IF(Table1[[#This Row],[Daily_Screen_Time(hrs)]]&lt;=3,"Low",IF(Table1[[#This Row],[Daily_Screen_Time(hrs)]]&lt;=6,"Medium","High"))</f>
        <v>High</v>
      </c>
      <c r="M190" t="str">
        <f>IF(Table1[[#This Row],[Stress_Level(1-10)]]&lt;=4,"Low",IF(Table1[[#This Row],[Stress_Level(1-10)]]&lt;=7,"Medium","High"))</f>
        <v>High</v>
      </c>
      <c r="N190" t="str">
        <f>IF(Table1[[#This Row],[Happiness_Index(1-10)]]&lt;=4,"Low",IF(Table1[[#This Row],[Happiness_Index(1-10)]]&lt;=7,"Normal","High"))</f>
        <v>Normal</v>
      </c>
    </row>
    <row r="191" spans="1:14" x14ac:dyDescent="0.25">
      <c r="A191" t="s">
        <v>208</v>
      </c>
      <c r="B191">
        <v>31</v>
      </c>
      <c r="C191" t="s">
        <v>19</v>
      </c>
      <c r="D191">
        <v>4.0999999999999996</v>
      </c>
      <c r="E191">
        <v>8</v>
      </c>
      <c r="F191">
        <v>6</v>
      </c>
      <c r="G191">
        <v>0</v>
      </c>
      <c r="H191">
        <v>4</v>
      </c>
      <c r="I191" t="s">
        <v>22</v>
      </c>
      <c r="J191">
        <v>10</v>
      </c>
      <c r="K191" t="str">
        <f t="shared" si="2"/>
        <v>26–35</v>
      </c>
      <c r="L191" t="str">
        <f>IF(Table1[[#This Row],[Daily_Screen_Time(hrs)]]&lt;=3,"Low",IF(Table1[[#This Row],[Daily_Screen_Time(hrs)]]&lt;=6,"Medium","High"))</f>
        <v>Medium</v>
      </c>
      <c r="M191" t="str">
        <f>IF(Table1[[#This Row],[Stress_Level(1-10)]]&lt;=4,"Low",IF(Table1[[#This Row],[Stress_Level(1-10)]]&lt;=7,"Medium","High"))</f>
        <v>Medium</v>
      </c>
      <c r="N191" t="str">
        <f>IF(Table1[[#This Row],[Happiness_Index(1-10)]]&lt;=4,"Low",IF(Table1[[#This Row],[Happiness_Index(1-10)]]&lt;=7,"Normal","High"))</f>
        <v>High</v>
      </c>
    </row>
    <row r="192" spans="1:14" x14ac:dyDescent="0.25">
      <c r="A192" t="s">
        <v>209</v>
      </c>
      <c r="B192">
        <v>41</v>
      </c>
      <c r="C192" t="s">
        <v>11</v>
      </c>
      <c r="D192">
        <v>3.1</v>
      </c>
      <c r="E192">
        <v>7</v>
      </c>
      <c r="F192">
        <v>7</v>
      </c>
      <c r="G192">
        <v>2</v>
      </c>
      <c r="H192">
        <v>3</v>
      </c>
      <c r="I192" t="s">
        <v>17</v>
      </c>
      <c r="J192">
        <v>9</v>
      </c>
      <c r="K192" t="str">
        <f t="shared" si="2"/>
        <v>36–45</v>
      </c>
      <c r="L192" t="str">
        <f>IF(Table1[[#This Row],[Daily_Screen_Time(hrs)]]&lt;=3,"Low",IF(Table1[[#This Row],[Daily_Screen_Time(hrs)]]&lt;=6,"Medium","High"))</f>
        <v>Medium</v>
      </c>
      <c r="M192" t="str">
        <f>IF(Table1[[#This Row],[Stress_Level(1-10)]]&lt;=4,"Low",IF(Table1[[#This Row],[Stress_Level(1-10)]]&lt;=7,"Medium","High"))</f>
        <v>Medium</v>
      </c>
      <c r="N192" t="str">
        <f>IF(Table1[[#This Row],[Happiness_Index(1-10)]]&lt;=4,"Low",IF(Table1[[#This Row],[Happiness_Index(1-10)]]&lt;=7,"Normal","High"))</f>
        <v>High</v>
      </c>
    </row>
    <row r="193" spans="1:14" x14ac:dyDescent="0.25">
      <c r="A193" t="s">
        <v>210</v>
      </c>
      <c r="B193">
        <v>17</v>
      </c>
      <c r="C193" t="s">
        <v>19</v>
      </c>
      <c r="D193">
        <v>4.9000000000000004</v>
      </c>
      <c r="E193">
        <v>7</v>
      </c>
      <c r="F193">
        <v>6</v>
      </c>
      <c r="G193">
        <v>3</v>
      </c>
      <c r="H193">
        <v>3</v>
      </c>
      <c r="I193" t="s">
        <v>22</v>
      </c>
      <c r="J193">
        <v>10</v>
      </c>
      <c r="K193" t="str">
        <f t="shared" si="2"/>
        <v>15–25</v>
      </c>
      <c r="L193" t="str">
        <f>IF(Table1[[#This Row],[Daily_Screen_Time(hrs)]]&lt;=3,"Low",IF(Table1[[#This Row],[Daily_Screen_Time(hrs)]]&lt;=6,"Medium","High"))</f>
        <v>Medium</v>
      </c>
      <c r="M193" t="str">
        <f>IF(Table1[[#This Row],[Stress_Level(1-10)]]&lt;=4,"Low",IF(Table1[[#This Row],[Stress_Level(1-10)]]&lt;=7,"Medium","High"))</f>
        <v>Medium</v>
      </c>
      <c r="N193" t="str">
        <f>IF(Table1[[#This Row],[Happiness_Index(1-10)]]&lt;=4,"Low",IF(Table1[[#This Row],[Happiness_Index(1-10)]]&lt;=7,"Normal","High"))</f>
        <v>High</v>
      </c>
    </row>
    <row r="194" spans="1:14" x14ac:dyDescent="0.25">
      <c r="A194" t="s">
        <v>211</v>
      </c>
      <c r="B194">
        <v>16</v>
      </c>
      <c r="C194" t="s">
        <v>11</v>
      </c>
      <c r="D194">
        <v>4.2</v>
      </c>
      <c r="E194">
        <v>7</v>
      </c>
      <c r="F194">
        <v>7</v>
      </c>
      <c r="G194">
        <v>5</v>
      </c>
      <c r="H194">
        <v>3</v>
      </c>
      <c r="I194" t="s">
        <v>20</v>
      </c>
      <c r="J194">
        <v>8</v>
      </c>
      <c r="K194" t="str">
        <f t="shared" ref="K194:K257" si="3">IF(B194&lt;=25,"15–25",IF(B194&lt;=35,"26–35",IF(B194&lt;=45,"36–45","46+")))</f>
        <v>15–25</v>
      </c>
      <c r="L194" t="str">
        <f>IF(Table1[[#This Row],[Daily_Screen_Time(hrs)]]&lt;=3,"Low",IF(Table1[[#This Row],[Daily_Screen_Time(hrs)]]&lt;=6,"Medium","High"))</f>
        <v>Medium</v>
      </c>
      <c r="M194" t="str">
        <f>IF(Table1[[#This Row],[Stress_Level(1-10)]]&lt;=4,"Low",IF(Table1[[#This Row],[Stress_Level(1-10)]]&lt;=7,"Medium","High"))</f>
        <v>Medium</v>
      </c>
      <c r="N194" t="str">
        <f>IF(Table1[[#This Row],[Happiness_Index(1-10)]]&lt;=4,"Low",IF(Table1[[#This Row],[Happiness_Index(1-10)]]&lt;=7,"Normal","High"))</f>
        <v>High</v>
      </c>
    </row>
    <row r="195" spans="1:14" x14ac:dyDescent="0.25">
      <c r="A195" t="s">
        <v>212</v>
      </c>
      <c r="B195">
        <v>27</v>
      </c>
      <c r="C195" t="s">
        <v>11</v>
      </c>
      <c r="D195">
        <v>5.5</v>
      </c>
      <c r="E195">
        <v>6</v>
      </c>
      <c r="F195">
        <v>8</v>
      </c>
      <c r="G195">
        <v>3</v>
      </c>
      <c r="H195">
        <v>1</v>
      </c>
      <c r="I195" t="s">
        <v>20</v>
      </c>
      <c r="J195">
        <v>7</v>
      </c>
      <c r="K195" t="str">
        <f t="shared" si="3"/>
        <v>26–35</v>
      </c>
      <c r="L195" t="str">
        <f>IF(Table1[[#This Row],[Daily_Screen_Time(hrs)]]&lt;=3,"Low",IF(Table1[[#This Row],[Daily_Screen_Time(hrs)]]&lt;=6,"Medium","High"))</f>
        <v>Medium</v>
      </c>
      <c r="M195" t="str">
        <f>IF(Table1[[#This Row],[Stress_Level(1-10)]]&lt;=4,"Low",IF(Table1[[#This Row],[Stress_Level(1-10)]]&lt;=7,"Medium","High"))</f>
        <v>High</v>
      </c>
      <c r="N195" t="str">
        <f>IF(Table1[[#This Row],[Happiness_Index(1-10)]]&lt;=4,"Low",IF(Table1[[#This Row],[Happiness_Index(1-10)]]&lt;=7,"Normal","High"))</f>
        <v>Normal</v>
      </c>
    </row>
    <row r="196" spans="1:14" x14ac:dyDescent="0.25">
      <c r="A196" t="s">
        <v>213</v>
      </c>
      <c r="B196">
        <v>20</v>
      </c>
      <c r="C196" t="s">
        <v>11</v>
      </c>
      <c r="D196">
        <v>2.6</v>
      </c>
      <c r="E196">
        <v>9</v>
      </c>
      <c r="F196">
        <v>4</v>
      </c>
      <c r="G196">
        <v>4</v>
      </c>
      <c r="H196">
        <v>1</v>
      </c>
      <c r="I196" t="s">
        <v>20</v>
      </c>
      <c r="J196">
        <v>10</v>
      </c>
      <c r="K196" t="str">
        <f t="shared" si="3"/>
        <v>15–25</v>
      </c>
      <c r="L196" t="str">
        <f>IF(Table1[[#This Row],[Daily_Screen_Time(hrs)]]&lt;=3,"Low",IF(Table1[[#This Row],[Daily_Screen_Time(hrs)]]&lt;=6,"Medium","High"))</f>
        <v>Low</v>
      </c>
      <c r="M196" t="str">
        <f>IF(Table1[[#This Row],[Stress_Level(1-10)]]&lt;=4,"Low",IF(Table1[[#This Row],[Stress_Level(1-10)]]&lt;=7,"Medium","High"))</f>
        <v>Low</v>
      </c>
      <c r="N196" t="str">
        <f>IF(Table1[[#This Row],[Happiness_Index(1-10)]]&lt;=4,"Low",IF(Table1[[#This Row],[Happiness_Index(1-10)]]&lt;=7,"Normal","High"))</f>
        <v>High</v>
      </c>
    </row>
    <row r="197" spans="1:14" x14ac:dyDescent="0.25">
      <c r="A197" t="s">
        <v>214</v>
      </c>
      <c r="B197">
        <v>47</v>
      </c>
      <c r="C197" t="s">
        <v>19</v>
      </c>
      <c r="D197">
        <v>6.5</v>
      </c>
      <c r="E197">
        <v>5</v>
      </c>
      <c r="F197">
        <v>7</v>
      </c>
      <c r="G197">
        <v>2</v>
      </c>
      <c r="H197">
        <v>2</v>
      </c>
      <c r="I197" t="s">
        <v>15</v>
      </c>
      <c r="J197">
        <v>8</v>
      </c>
      <c r="K197" t="str">
        <f t="shared" si="3"/>
        <v>46+</v>
      </c>
      <c r="L197" t="str">
        <f>IF(Table1[[#This Row],[Daily_Screen_Time(hrs)]]&lt;=3,"Low",IF(Table1[[#This Row],[Daily_Screen_Time(hrs)]]&lt;=6,"Medium","High"))</f>
        <v>High</v>
      </c>
      <c r="M197" t="str">
        <f>IF(Table1[[#This Row],[Stress_Level(1-10)]]&lt;=4,"Low",IF(Table1[[#This Row],[Stress_Level(1-10)]]&lt;=7,"Medium","High"))</f>
        <v>Medium</v>
      </c>
      <c r="N197" t="str">
        <f>IF(Table1[[#This Row],[Happiness_Index(1-10)]]&lt;=4,"Low",IF(Table1[[#This Row],[Happiness_Index(1-10)]]&lt;=7,"Normal","High"))</f>
        <v>High</v>
      </c>
    </row>
    <row r="198" spans="1:14" x14ac:dyDescent="0.25">
      <c r="A198" t="s">
        <v>215</v>
      </c>
      <c r="B198">
        <v>24</v>
      </c>
      <c r="C198" t="s">
        <v>11</v>
      </c>
      <c r="D198">
        <v>4.4000000000000004</v>
      </c>
      <c r="E198">
        <v>8</v>
      </c>
      <c r="F198">
        <v>7</v>
      </c>
      <c r="G198">
        <v>6</v>
      </c>
      <c r="H198">
        <v>3</v>
      </c>
      <c r="I198" t="s">
        <v>26</v>
      </c>
      <c r="J198">
        <v>10</v>
      </c>
      <c r="K198" t="str">
        <f t="shared" si="3"/>
        <v>15–25</v>
      </c>
      <c r="L198" t="str">
        <f>IF(Table1[[#This Row],[Daily_Screen_Time(hrs)]]&lt;=3,"Low",IF(Table1[[#This Row],[Daily_Screen_Time(hrs)]]&lt;=6,"Medium","High"))</f>
        <v>Medium</v>
      </c>
      <c r="M198" t="str">
        <f>IF(Table1[[#This Row],[Stress_Level(1-10)]]&lt;=4,"Low",IF(Table1[[#This Row],[Stress_Level(1-10)]]&lt;=7,"Medium","High"))</f>
        <v>Medium</v>
      </c>
      <c r="N198" t="str">
        <f>IF(Table1[[#This Row],[Happiness_Index(1-10)]]&lt;=4,"Low",IF(Table1[[#This Row],[Happiness_Index(1-10)]]&lt;=7,"Normal","High"))</f>
        <v>High</v>
      </c>
    </row>
    <row r="199" spans="1:14" x14ac:dyDescent="0.25">
      <c r="A199" t="s">
        <v>216</v>
      </c>
      <c r="B199">
        <v>34</v>
      </c>
      <c r="C199" t="s">
        <v>11</v>
      </c>
      <c r="D199">
        <v>7.3</v>
      </c>
      <c r="E199">
        <v>5</v>
      </c>
      <c r="F199">
        <v>7</v>
      </c>
      <c r="G199">
        <v>1</v>
      </c>
      <c r="H199">
        <v>1</v>
      </c>
      <c r="I199" t="s">
        <v>17</v>
      </c>
      <c r="J199">
        <v>6</v>
      </c>
      <c r="K199" t="str">
        <f t="shared" si="3"/>
        <v>26–35</v>
      </c>
      <c r="L199" t="str">
        <f>IF(Table1[[#This Row],[Daily_Screen_Time(hrs)]]&lt;=3,"Low",IF(Table1[[#This Row],[Daily_Screen_Time(hrs)]]&lt;=6,"Medium","High"))</f>
        <v>High</v>
      </c>
      <c r="M199" t="str">
        <f>IF(Table1[[#This Row],[Stress_Level(1-10)]]&lt;=4,"Low",IF(Table1[[#This Row],[Stress_Level(1-10)]]&lt;=7,"Medium","High"))</f>
        <v>Medium</v>
      </c>
      <c r="N199" t="str">
        <f>IF(Table1[[#This Row],[Happiness_Index(1-10)]]&lt;=4,"Low",IF(Table1[[#This Row],[Happiness_Index(1-10)]]&lt;=7,"Normal","High"))</f>
        <v>Normal</v>
      </c>
    </row>
    <row r="200" spans="1:14" x14ac:dyDescent="0.25">
      <c r="A200" t="s">
        <v>217</v>
      </c>
      <c r="B200">
        <v>31</v>
      </c>
      <c r="C200" t="s">
        <v>19</v>
      </c>
      <c r="D200">
        <v>5</v>
      </c>
      <c r="E200">
        <v>7</v>
      </c>
      <c r="F200">
        <v>5</v>
      </c>
      <c r="G200">
        <v>2</v>
      </c>
      <c r="H200">
        <v>3</v>
      </c>
      <c r="I200" t="s">
        <v>22</v>
      </c>
      <c r="J200">
        <v>10</v>
      </c>
      <c r="K200" t="str">
        <f t="shared" si="3"/>
        <v>26–35</v>
      </c>
      <c r="L200" t="str">
        <f>IF(Table1[[#This Row],[Daily_Screen_Time(hrs)]]&lt;=3,"Low",IF(Table1[[#This Row],[Daily_Screen_Time(hrs)]]&lt;=6,"Medium","High"))</f>
        <v>Medium</v>
      </c>
      <c r="M200" t="str">
        <f>IF(Table1[[#This Row],[Stress_Level(1-10)]]&lt;=4,"Low",IF(Table1[[#This Row],[Stress_Level(1-10)]]&lt;=7,"Medium","High"))</f>
        <v>Medium</v>
      </c>
      <c r="N200" t="str">
        <f>IF(Table1[[#This Row],[Happiness_Index(1-10)]]&lt;=4,"Low",IF(Table1[[#This Row],[Happiness_Index(1-10)]]&lt;=7,"Normal","High"))</f>
        <v>High</v>
      </c>
    </row>
    <row r="201" spans="1:14" x14ac:dyDescent="0.25">
      <c r="A201" t="s">
        <v>218</v>
      </c>
      <c r="B201">
        <v>18</v>
      </c>
      <c r="C201" t="s">
        <v>11</v>
      </c>
      <c r="D201">
        <v>5.5</v>
      </c>
      <c r="E201">
        <v>5</v>
      </c>
      <c r="F201">
        <v>6</v>
      </c>
      <c r="G201">
        <v>2</v>
      </c>
      <c r="H201">
        <v>6</v>
      </c>
      <c r="I201" t="s">
        <v>22</v>
      </c>
      <c r="J201">
        <v>9</v>
      </c>
      <c r="K201" t="str">
        <f t="shared" si="3"/>
        <v>15–25</v>
      </c>
      <c r="L201" t="str">
        <f>IF(Table1[[#This Row],[Daily_Screen_Time(hrs)]]&lt;=3,"Low",IF(Table1[[#This Row],[Daily_Screen_Time(hrs)]]&lt;=6,"Medium","High"))</f>
        <v>Medium</v>
      </c>
      <c r="M201" t="str">
        <f>IF(Table1[[#This Row],[Stress_Level(1-10)]]&lt;=4,"Low",IF(Table1[[#This Row],[Stress_Level(1-10)]]&lt;=7,"Medium","High"))</f>
        <v>Medium</v>
      </c>
      <c r="N201" t="str">
        <f>IF(Table1[[#This Row],[Happiness_Index(1-10)]]&lt;=4,"Low",IF(Table1[[#This Row],[Happiness_Index(1-10)]]&lt;=7,"Normal","High"))</f>
        <v>High</v>
      </c>
    </row>
    <row r="202" spans="1:14" x14ac:dyDescent="0.25">
      <c r="A202" t="s">
        <v>219</v>
      </c>
      <c r="B202">
        <v>35</v>
      </c>
      <c r="C202" t="s">
        <v>19</v>
      </c>
      <c r="D202">
        <v>5.2</v>
      </c>
      <c r="E202">
        <v>7</v>
      </c>
      <c r="F202">
        <v>6</v>
      </c>
      <c r="G202">
        <v>4</v>
      </c>
      <c r="H202">
        <v>0</v>
      </c>
      <c r="I202" t="s">
        <v>12</v>
      </c>
      <c r="J202">
        <v>10</v>
      </c>
      <c r="K202" t="str">
        <f t="shared" si="3"/>
        <v>26–35</v>
      </c>
      <c r="L202" t="str">
        <f>IF(Table1[[#This Row],[Daily_Screen_Time(hrs)]]&lt;=3,"Low",IF(Table1[[#This Row],[Daily_Screen_Time(hrs)]]&lt;=6,"Medium","High"))</f>
        <v>Medium</v>
      </c>
      <c r="M202" t="str">
        <f>IF(Table1[[#This Row],[Stress_Level(1-10)]]&lt;=4,"Low",IF(Table1[[#This Row],[Stress_Level(1-10)]]&lt;=7,"Medium","High"))</f>
        <v>Medium</v>
      </c>
      <c r="N202" t="str">
        <f>IF(Table1[[#This Row],[Happiness_Index(1-10)]]&lt;=4,"Low",IF(Table1[[#This Row],[Happiness_Index(1-10)]]&lt;=7,"Normal","High"))</f>
        <v>High</v>
      </c>
    </row>
    <row r="203" spans="1:14" x14ac:dyDescent="0.25">
      <c r="A203" t="s">
        <v>220</v>
      </c>
      <c r="B203">
        <v>39</v>
      </c>
      <c r="C203" t="s">
        <v>11</v>
      </c>
      <c r="D203">
        <v>4.3</v>
      </c>
      <c r="E203">
        <v>9</v>
      </c>
      <c r="F203">
        <v>7</v>
      </c>
      <c r="G203">
        <v>1</v>
      </c>
      <c r="H203">
        <v>3</v>
      </c>
      <c r="I203" t="s">
        <v>20</v>
      </c>
      <c r="J203">
        <v>9</v>
      </c>
      <c r="K203" t="str">
        <f t="shared" si="3"/>
        <v>36–45</v>
      </c>
      <c r="L203" t="str">
        <f>IF(Table1[[#This Row],[Daily_Screen_Time(hrs)]]&lt;=3,"Low",IF(Table1[[#This Row],[Daily_Screen_Time(hrs)]]&lt;=6,"Medium","High"))</f>
        <v>Medium</v>
      </c>
      <c r="M203" t="str">
        <f>IF(Table1[[#This Row],[Stress_Level(1-10)]]&lt;=4,"Low",IF(Table1[[#This Row],[Stress_Level(1-10)]]&lt;=7,"Medium","High"))</f>
        <v>Medium</v>
      </c>
      <c r="N203" t="str">
        <f>IF(Table1[[#This Row],[Happiness_Index(1-10)]]&lt;=4,"Low",IF(Table1[[#This Row],[Happiness_Index(1-10)]]&lt;=7,"Normal","High"))</f>
        <v>High</v>
      </c>
    </row>
    <row r="204" spans="1:14" x14ac:dyDescent="0.25">
      <c r="A204" t="s">
        <v>221</v>
      </c>
      <c r="B204">
        <v>48</v>
      </c>
      <c r="C204" t="s">
        <v>19</v>
      </c>
      <c r="D204">
        <v>10</v>
      </c>
      <c r="E204">
        <v>3</v>
      </c>
      <c r="F204">
        <v>10</v>
      </c>
      <c r="G204">
        <v>3</v>
      </c>
      <c r="H204">
        <v>2</v>
      </c>
      <c r="I204" t="s">
        <v>20</v>
      </c>
      <c r="J204">
        <v>4</v>
      </c>
      <c r="K204" t="str">
        <f t="shared" si="3"/>
        <v>46+</v>
      </c>
      <c r="L204" t="str">
        <f>IF(Table1[[#This Row],[Daily_Screen_Time(hrs)]]&lt;=3,"Low",IF(Table1[[#This Row],[Daily_Screen_Time(hrs)]]&lt;=6,"Medium","High"))</f>
        <v>High</v>
      </c>
      <c r="M204" t="str">
        <f>IF(Table1[[#This Row],[Stress_Level(1-10)]]&lt;=4,"Low",IF(Table1[[#This Row],[Stress_Level(1-10)]]&lt;=7,"Medium","High"))</f>
        <v>High</v>
      </c>
      <c r="N204" t="str">
        <f>IF(Table1[[#This Row],[Happiness_Index(1-10)]]&lt;=4,"Low",IF(Table1[[#This Row],[Happiness_Index(1-10)]]&lt;=7,"Normal","High"))</f>
        <v>Low</v>
      </c>
    </row>
    <row r="205" spans="1:14" x14ac:dyDescent="0.25">
      <c r="A205" t="s">
        <v>222</v>
      </c>
      <c r="B205">
        <v>39</v>
      </c>
      <c r="C205" t="s">
        <v>19</v>
      </c>
      <c r="D205">
        <v>4.5999999999999996</v>
      </c>
      <c r="E205">
        <v>6</v>
      </c>
      <c r="F205">
        <v>7</v>
      </c>
      <c r="G205">
        <v>3</v>
      </c>
      <c r="H205">
        <v>3</v>
      </c>
      <c r="I205" t="s">
        <v>20</v>
      </c>
      <c r="J205">
        <v>6</v>
      </c>
      <c r="K205" t="str">
        <f t="shared" si="3"/>
        <v>36–45</v>
      </c>
      <c r="L205" t="str">
        <f>IF(Table1[[#This Row],[Daily_Screen_Time(hrs)]]&lt;=3,"Low",IF(Table1[[#This Row],[Daily_Screen_Time(hrs)]]&lt;=6,"Medium","High"))</f>
        <v>Medium</v>
      </c>
      <c r="M205" t="str">
        <f>IF(Table1[[#This Row],[Stress_Level(1-10)]]&lt;=4,"Low",IF(Table1[[#This Row],[Stress_Level(1-10)]]&lt;=7,"Medium","High"))</f>
        <v>Medium</v>
      </c>
      <c r="N205" t="str">
        <f>IF(Table1[[#This Row],[Happiness_Index(1-10)]]&lt;=4,"Low",IF(Table1[[#This Row],[Happiness_Index(1-10)]]&lt;=7,"Normal","High"))</f>
        <v>Normal</v>
      </c>
    </row>
    <row r="206" spans="1:14" x14ac:dyDescent="0.25">
      <c r="A206" t="s">
        <v>223</v>
      </c>
      <c r="B206">
        <v>26</v>
      </c>
      <c r="C206" t="s">
        <v>11</v>
      </c>
      <c r="D206">
        <v>7.3</v>
      </c>
      <c r="E206">
        <v>5</v>
      </c>
      <c r="F206">
        <v>8</v>
      </c>
      <c r="G206">
        <v>2</v>
      </c>
      <c r="H206">
        <v>2</v>
      </c>
      <c r="I206" t="s">
        <v>22</v>
      </c>
      <c r="J206">
        <v>7</v>
      </c>
      <c r="K206" t="str">
        <f t="shared" si="3"/>
        <v>26–35</v>
      </c>
      <c r="L206" t="str">
        <f>IF(Table1[[#This Row],[Daily_Screen_Time(hrs)]]&lt;=3,"Low",IF(Table1[[#This Row],[Daily_Screen_Time(hrs)]]&lt;=6,"Medium","High"))</f>
        <v>High</v>
      </c>
      <c r="M206" t="str">
        <f>IF(Table1[[#This Row],[Stress_Level(1-10)]]&lt;=4,"Low",IF(Table1[[#This Row],[Stress_Level(1-10)]]&lt;=7,"Medium","High"))</f>
        <v>High</v>
      </c>
      <c r="N206" t="str">
        <f>IF(Table1[[#This Row],[Happiness_Index(1-10)]]&lt;=4,"Low",IF(Table1[[#This Row],[Happiness_Index(1-10)]]&lt;=7,"Normal","High"))</f>
        <v>Normal</v>
      </c>
    </row>
    <row r="207" spans="1:14" x14ac:dyDescent="0.25">
      <c r="A207" t="s">
        <v>224</v>
      </c>
      <c r="B207">
        <v>23</v>
      </c>
      <c r="C207" t="s">
        <v>11</v>
      </c>
      <c r="D207">
        <v>3.5</v>
      </c>
      <c r="E207">
        <v>9</v>
      </c>
      <c r="F207">
        <v>5</v>
      </c>
      <c r="G207">
        <v>4</v>
      </c>
      <c r="H207">
        <v>2</v>
      </c>
      <c r="I207" t="s">
        <v>12</v>
      </c>
      <c r="J207">
        <v>10</v>
      </c>
      <c r="K207" t="str">
        <f t="shared" si="3"/>
        <v>15–25</v>
      </c>
      <c r="L207" t="str">
        <f>IF(Table1[[#This Row],[Daily_Screen_Time(hrs)]]&lt;=3,"Low",IF(Table1[[#This Row],[Daily_Screen_Time(hrs)]]&lt;=6,"Medium","High"))</f>
        <v>Medium</v>
      </c>
      <c r="M207" t="str">
        <f>IF(Table1[[#This Row],[Stress_Level(1-10)]]&lt;=4,"Low",IF(Table1[[#This Row],[Stress_Level(1-10)]]&lt;=7,"Medium","High"))</f>
        <v>Medium</v>
      </c>
      <c r="N207" t="str">
        <f>IF(Table1[[#This Row],[Happiness_Index(1-10)]]&lt;=4,"Low",IF(Table1[[#This Row],[Happiness_Index(1-10)]]&lt;=7,"Normal","High"))</f>
        <v>High</v>
      </c>
    </row>
    <row r="208" spans="1:14" x14ac:dyDescent="0.25">
      <c r="A208" t="s">
        <v>225</v>
      </c>
      <c r="B208">
        <v>35</v>
      </c>
      <c r="C208" t="s">
        <v>11</v>
      </c>
      <c r="D208">
        <v>6.2</v>
      </c>
      <c r="E208">
        <v>4</v>
      </c>
      <c r="F208">
        <v>8</v>
      </c>
      <c r="G208">
        <v>1</v>
      </c>
      <c r="H208">
        <v>3</v>
      </c>
      <c r="I208" t="s">
        <v>26</v>
      </c>
      <c r="J208">
        <v>7</v>
      </c>
      <c r="K208" t="str">
        <f t="shared" si="3"/>
        <v>26–35</v>
      </c>
      <c r="L208" t="str">
        <f>IF(Table1[[#This Row],[Daily_Screen_Time(hrs)]]&lt;=3,"Low",IF(Table1[[#This Row],[Daily_Screen_Time(hrs)]]&lt;=6,"Medium","High"))</f>
        <v>High</v>
      </c>
      <c r="M208" t="str">
        <f>IF(Table1[[#This Row],[Stress_Level(1-10)]]&lt;=4,"Low",IF(Table1[[#This Row],[Stress_Level(1-10)]]&lt;=7,"Medium","High"))</f>
        <v>High</v>
      </c>
      <c r="N208" t="str">
        <f>IF(Table1[[#This Row],[Happiness_Index(1-10)]]&lt;=4,"Low",IF(Table1[[#This Row],[Happiness_Index(1-10)]]&lt;=7,"Normal","High"))</f>
        <v>Normal</v>
      </c>
    </row>
    <row r="209" spans="1:14" x14ac:dyDescent="0.25">
      <c r="A209" t="s">
        <v>226</v>
      </c>
      <c r="B209">
        <v>40</v>
      </c>
      <c r="C209" t="s">
        <v>11</v>
      </c>
      <c r="D209">
        <v>6.4</v>
      </c>
      <c r="E209">
        <v>5</v>
      </c>
      <c r="F209">
        <v>8</v>
      </c>
      <c r="G209">
        <v>1</v>
      </c>
      <c r="H209">
        <v>2</v>
      </c>
      <c r="I209" t="s">
        <v>15</v>
      </c>
      <c r="J209">
        <v>7</v>
      </c>
      <c r="K209" t="str">
        <f t="shared" si="3"/>
        <v>36–45</v>
      </c>
      <c r="L209" t="str">
        <f>IF(Table1[[#This Row],[Daily_Screen_Time(hrs)]]&lt;=3,"Low",IF(Table1[[#This Row],[Daily_Screen_Time(hrs)]]&lt;=6,"Medium","High"))</f>
        <v>High</v>
      </c>
      <c r="M209" t="str">
        <f>IF(Table1[[#This Row],[Stress_Level(1-10)]]&lt;=4,"Low",IF(Table1[[#This Row],[Stress_Level(1-10)]]&lt;=7,"Medium","High"))</f>
        <v>High</v>
      </c>
      <c r="N209" t="str">
        <f>IF(Table1[[#This Row],[Happiness_Index(1-10)]]&lt;=4,"Low",IF(Table1[[#This Row],[Happiness_Index(1-10)]]&lt;=7,"Normal","High"))</f>
        <v>Normal</v>
      </c>
    </row>
    <row r="210" spans="1:14" x14ac:dyDescent="0.25">
      <c r="A210" t="s">
        <v>227</v>
      </c>
      <c r="B210">
        <v>40</v>
      </c>
      <c r="C210" t="s">
        <v>14</v>
      </c>
      <c r="D210">
        <v>5.5</v>
      </c>
      <c r="E210">
        <v>6</v>
      </c>
      <c r="F210">
        <v>7</v>
      </c>
      <c r="G210">
        <v>3</v>
      </c>
      <c r="H210">
        <v>0</v>
      </c>
      <c r="I210" t="s">
        <v>17</v>
      </c>
      <c r="J210">
        <v>9</v>
      </c>
      <c r="K210" t="str">
        <f t="shared" si="3"/>
        <v>36–45</v>
      </c>
      <c r="L210" t="str">
        <f>IF(Table1[[#This Row],[Daily_Screen_Time(hrs)]]&lt;=3,"Low",IF(Table1[[#This Row],[Daily_Screen_Time(hrs)]]&lt;=6,"Medium","High"))</f>
        <v>Medium</v>
      </c>
      <c r="M210" t="str">
        <f>IF(Table1[[#This Row],[Stress_Level(1-10)]]&lt;=4,"Low",IF(Table1[[#This Row],[Stress_Level(1-10)]]&lt;=7,"Medium","High"))</f>
        <v>Medium</v>
      </c>
      <c r="N210" t="str">
        <f>IF(Table1[[#This Row],[Happiness_Index(1-10)]]&lt;=4,"Low",IF(Table1[[#This Row],[Happiness_Index(1-10)]]&lt;=7,"Normal","High"))</f>
        <v>High</v>
      </c>
    </row>
    <row r="211" spans="1:14" x14ac:dyDescent="0.25">
      <c r="A211" t="s">
        <v>228</v>
      </c>
      <c r="B211">
        <v>44</v>
      </c>
      <c r="C211" t="s">
        <v>11</v>
      </c>
      <c r="D211">
        <v>4.5</v>
      </c>
      <c r="E211">
        <v>6</v>
      </c>
      <c r="F211">
        <v>6</v>
      </c>
      <c r="G211">
        <v>0</v>
      </c>
      <c r="H211">
        <v>2</v>
      </c>
      <c r="I211" t="s">
        <v>26</v>
      </c>
      <c r="J211">
        <v>9</v>
      </c>
      <c r="K211" t="str">
        <f t="shared" si="3"/>
        <v>36–45</v>
      </c>
      <c r="L211" t="str">
        <f>IF(Table1[[#This Row],[Daily_Screen_Time(hrs)]]&lt;=3,"Low",IF(Table1[[#This Row],[Daily_Screen_Time(hrs)]]&lt;=6,"Medium","High"))</f>
        <v>Medium</v>
      </c>
      <c r="M211" t="str">
        <f>IF(Table1[[#This Row],[Stress_Level(1-10)]]&lt;=4,"Low",IF(Table1[[#This Row],[Stress_Level(1-10)]]&lt;=7,"Medium","High"))</f>
        <v>Medium</v>
      </c>
      <c r="N211" t="str">
        <f>IF(Table1[[#This Row],[Happiness_Index(1-10)]]&lt;=4,"Low",IF(Table1[[#This Row],[Happiness_Index(1-10)]]&lt;=7,"Normal","High"))</f>
        <v>High</v>
      </c>
    </row>
    <row r="212" spans="1:14" x14ac:dyDescent="0.25">
      <c r="A212" t="s">
        <v>229</v>
      </c>
      <c r="B212">
        <v>33</v>
      </c>
      <c r="C212" t="s">
        <v>19</v>
      </c>
      <c r="D212">
        <v>5</v>
      </c>
      <c r="E212">
        <v>6</v>
      </c>
      <c r="F212">
        <v>6</v>
      </c>
      <c r="G212">
        <v>0</v>
      </c>
      <c r="H212">
        <v>0</v>
      </c>
      <c r="I212" t="s">
        <v>22</v>
      </c>
      <c r="J212">
        <v>8</v>
      </c>
      <c r="K212" t="str">
        <f t="shared" si="3"/>
        <v>26–35</v>
      </c>
      <c r="L212" t="str">
        <f>IF(Table1[[#This Row],[Daily_Screen_Time(hrs)]]&lt;=3,"Low",IF(Table1[[#This Row],[Daily_Screen_Time(hrs)]]&lt;=6,"Medium","High"))</f>
        <v>Medium</v>
      </c>
      <c r="M212" t="str">
        <f>IF(Table1[[#This Row],[Stress_Level(1-10)]]&lt;=4,"Low",IF(Table1[[#This Row],[Stress_Level(1-10)]]&lt;=7,"Medium","High"))</f>
        <v>Medium</v>
      </c>
      <c r="N212" t="str">
        <f>IF(Table1[[#This Row],[Happiness_Index(1-10)]]&lt;=4,"Low",IF(Table1[[#This Row],[Happiness_Index(1-10)]]&lt;=7,"Normal","High"))</f>
        <v>High</v>
      </c>
    </row>
    <row r="213" spans="1:14" x14ac:dyDescent="0.25">
      <c r="A213" t="s">
        <v>230</v>
      </c>
      <c r="B213">
        <v>33</v>
      </c>
      <c r="C213" t="s">
        <v>11</v>
      </c>
      <c r="D213">
        <v>4.8</v>
      </c>
      <c r="E213">
        <v>5</v>
      </c>
      <c r="F213">
        <v>6</v>
      </c>
      <c r="G213">
        <v>4</v>
      </c>
      <c r="H213">
        <v>3</v>
      </c>
      <c r="I213" t="s">
        <v>15</v>
      </c>
      <c r="J213">
        <v>9</v>
      </c>
      <c r="K213" t="str">
        <f t="shared" si="3"/>
        <v>26–35</v>
      </c>
      <c r="L213" t="str">
        <f>IF(Table1[[#This Row],[Daily_Screen_Time(hrs)]]&lt;=3,"Low",IF(Table1[[#This Row],[Daily_Screen_Time(hrs)]]&lt;=6,"Medium","High"))</f>
        <v>Medium</v>
      </c>
      <c r="M213" t="str">
        <f>IF(Table1[[#This Row],[Stress_Level(1-10)]]&lt;=4,"Low",IF(Table1[[#This Row],[Stress_Level(1-10)]]&lt;=7,"Medium","High"))</f>
        <v>Medium</v>
      </c>
      <c r="N213" t="str">
        <f>IF(Table1[[#This Row],[Happiness_Index(1-10)]]&lt;=4,"Low",IF(Table1[[#This Row],[Happiness_Index(1-10)]]&lt;=7,"Normal","High"))</f>
        <v>High</v>
      </c>
    </row>
    <row r="214" spans="1:14" x14ac:dyDescent="0.25">
      <c r="A214" t="s">
        <v>231</v>
      </c>
      <c r="B214">
        <v>17</v>
      </c>
      <c r="C214" t="s">
        <v>19</v>
      </c>
      <c r="D214">
        <v>9.8000000000000007</v>
      </c>
      <c r="E214">
        <v>4</v>
      </c>
      <c r="F214">
        <v>9</v>
      </c>
      <c r="G214">
        <v>5</v>
      </c>
      <c r="H214">
        <v>0</v>
      </c>
      <c r="I214" t="s">
        <v>15</v>
      </c>
      <c r="J214">
        <v>6</v>
      </c>
      <c r="K214" t="str">
        <f t="shared" si="3"/>
        <v>15–25</v>
      </c>
      <c r="L214" t="str">
        <f>IF(Table1[[#This Row],[Daily_Screen_Time(hrs)]]&lt;=3,"Low",IF(Table1[[#This Row],[Daily_Screen_Time(hrs)]]&lt;=6,"Medium","High"))</f>
        <v>High</v>
      </c>
      <c r="M214" t="str">
        <f>IF(Table1[[#This Row],[Stress_Level(1-10)]]&lt;=4,"Low",IF(Table1[[#This Row],[Stress_Level(1-10)]]&lt;=7,"Medium","High"))</f>
        <v>High</v>
      </c>
      <c r="N214" t="str">
        <f>IF(Table1[[#This Row],[Happiness_Index(1-10)]]&lt;=4,"Low",IF(Table1[[#This Row],[Happiness_Index(1-10)]]&lt;=7,"Normal","High"))</f>
        <v>Normal</v>
      </c>
    </row>
    <row r="215" spans="1:14" x14ac:dyDescent="0.25">
      <c r="A215" t="s">
        <v>232</v>
      </c>
      <c r="B215">
        <v>31</v>
      </c>
      <c r="C215" t="s">
        <v>19</v>
      </c>
      <c r="D215">
        <v>5.5</v>
      </c>
      <c r="E215">
        <v>7</v>
      </c>
      <c r="F215">
        <v>7</v>
      </c>
      <c r="G215">
        <v>2</v>
      </c>
      <c r="H215">
        <v>4</v>
      </c>
      <c r="I215" t="s">
        <v>15</v>
      </c>
      <c r="J215">
        <v>9</v>
      </c>
      <c r="K215" t="str">
        <f t="shared" si="3"/>
        <v>26–35</v>
      </c>
      <c r="L215" t="str">
        <f>IF(Table1[[#This Row],[Daily_Screen_Time(hrs)]]&lt;=3,"Low",IF(Table1[[#This Row],[Daily_Screen_Time(hrs)]]&lt;=6,"Medium","High"))</f>
        <v>Medium</v>
      </c>
      <c r="M215" t="str">
        <f>IF(Table1[[#This Row],[Stress_Level(1-10)]]&lt;=4,"Low",IF(Table1[[#This Row],[Stress_Level(1-10)]]&lt;=7,"Medium","High"))</f>
        <v>Medium</v>
      </c>
      <c r="N215" t="str">
        <f>IF(Table1[[#This Row],[Happiness_Index(1-10)]]&lt;=4,"Low",IF(Table1[[#This Row],[Happiness_Index(1-10)]]&lt;=7,"Normal","High"))</f>
        <v>High</v>
      </c>
    </row>
    <row r="216" spans="1:14" x14ac:dyDescent="0.25">
      <c r="A216" t="s">
        <v>233</v>
      </c>
      <c r="B216">
        <v>48</v>
      </c>
      <c r="C216" t="s">
        <v>19</v>
      </c>
      <c r="D216">
        <v>6.4</v>
      </c>
      <c r="E216">
        <v>4</v>
      </c>
      <c r="F216">
        <v>6</v>
      </c>
      <c r="G216">
        <v>2</v>
      </c>
      <c r="H216">
        <v>3</v>
      </c>
      <c r="I216" t="s">
        <v>20</v>
      </c>
      <c r="J216">
        <v>7</v>
      </c>
      <c r="K216" t="str">
        <f t="shared" si="3"/>
        <v>46+</v>
      </c>
      <c r="L216" t="str">
        <f>IF(Table1[[#This Row],[Daily_Screen_Time(hrs)]]&lt;=3,"Low",IF(Table1[[#This Row],[Daily_Screen_Time(hrs)]]&lt;=6,"Medium","High"))</f>
        <v>High</v>
      </c>
      <c r="M216" t="str">
        <f>IF(Table1[[#This Row],[Stress_Level(1-10)]]&lt;=4,"Low",IF(Table1[[#This Row],[Stress_Level(1-10)]]&lt;=7,"Medium","High"))</f>
        <v>Medium</v>
      </c>
      <c r="N216" t="str">
        <f>IF(Table1[[#This Row],[Happiness_Index(1-10)]]&lt;=4,"Low",IF(Table1[[#This Row],[Happiness_Index(1-10)]]&lt;=7,"Normal","High"))</f>
        <v>Normal</v>
      </c>
    </row>
    <row r="217" spans="1:14" x14ac:dyDescent="0.25">
      <c r="A217" t="s">
        <v>234</v>
      </c>
      <c r="B217">
        <v>19</v>
      </c>
      <c r="C217" t="s">
        <v>19</v>
      </c>
      <c r="D217">
        <v>8.6999999999999993</v>
      </c>
      <c r="E217">
        <v>6</v>
      </c>
      <c r="F217">
        <v>7</v>
      </c>
      <c r="G217">
        <v>5</v>
      </c>
      <c r="H217">
        <v>3</v>
      </c>
      <c r="I217" t="s">
        <v>17</v>
      </c>
      <c r="J217">
        <v>10</v>
      </c>
      <c r="K217" t="str">
        <f t="shared" si="3"/>
        <v>15–25</v>
      </c>
      <c r="L217" t="str">
        <f>IF(Table1[[#This Row],[Daily_Screen_Time(hrs)]]&lt;=3,"Low",IF(Table1[[#This Row],[Daily_Screen_Time(hrs)]]&lt;=6,"Medium","High"))</f>
        <v>High</v>
      </c>
      <c r="M217" t="str">
        <f>IF(Table1[[#This Row],[Stress_Level(1-10)]]&lt;=4,"Low",IF(Table1[[#This Row],[Stress_Level(1-10)]]&lt;=7,"Medium","High"))</f>
        <v>Medium</v>
      </c>
      <c r="N217" t="str">
        <f>IF(Table1[[#This Row],[Happiness_Index(1-10)]]&lt;=4,"Low",IF(Table1[[#This Row],[Happiness_Index(1-10)]]&lt;=7,"Normal","High"))</f>
        <v>High</v>
      </c>
    </row>
    <row r="218" spans="1:14" x14ac:dyDescent="0.25">
      <c r="A218" t="s">
        <v>235</v>
      </c>
      <c r="B218">
        <v>48</v>
      </c>
      <c r="C218" t="s">
        <v>11</v>
      </c>
      <c r="D218">
        <v>3.9</v>
      </c>
      <c r="E218">
        <v>9</v>
      </c>
      <c r="F218">
        <v>5</v>
      </c>
      <c r="G218">
        <v>1</v>
      </c>
      <c r="H218">
        <v>0</v>
      </c>
      <c r="I218" t="s">
        <v>22</v>
      </c>
      <c r="J218">
        <v>10</v>
      </c>
      <c r="K218" t="str">
        <f t="shared" si="3"/>
        <v>46+</v>
      </c>
      <c r="L218" t="str">
        <f>IF(Table1[[#This Row],[Daily_Screen_Time(hrs)]]&lt;=3,"Low",IF(Table1[[#This Row],[Daily_Screen_Time(hrs)]]&lt;=6,"Medium","High"))</f>
        <v>Medium</v>
      </c>
      <c r="M218" t="str">
        <f>IF(Table1[[#This Row],[Stress_Level(1-10)]]&lt;=4,"Low",IF(Table1[[#This Row],[Stress_Level(1-10)]]&lt;=7,"Medium","High"))</f>
        <v>Medium</v>
      </c>
      <c r="N218" t="str">
        <f>IF(Table1[[#This Row],[Happiness_Index(1-10)]]&lt;=4,"Low",IF(Table1[[#This Row],[Happiness_Index(1-10)]]&lt;=7,"Normal","High"))</f>
        <v>High</v>
      </c>
    </row>
    <row r="219" spans="1:14" x14ac:dyDescent="0.25">
      <c r="A219" t="s">
        <v>236</v>
      </c>
      <c r="B219">
        <v>29</v>
      </c>
      <c r="C219" t="s">
        <v>11</v>
      </c>
      <c r="D219">
        <v>5.6</v>
      </c>
      <c r="E219">
        <v>6</v>
      </c>
      <c r="F219">
        <v>6</v>
      </c>
      <c r="G219">
        <v>0</v>
      </c>
      <c r="H219">
        <v>2</v>
      </c>
      <c r="I219" t="s">
        <v>22</v>
      </c>
      <c r="J219">
        <v>8</v>
      </c>
      <c r="K219" t="str">
        <f t="shared" si="3"/>
        <v>26–35</v>
      </c>
      <c r="L219" t="str">
        <f>IF(Table1[[#This Row],[Daily_Screen_Time(hrs)]]&lt;=3,"Low",IF(Table1[[#This Row],[Daily_Screen_Time(hrs)]]&lt;=6,"Medium","High"))</f>
        <v>Medium</v>
      </c>
      <c r="M219" t="str">
        <f>IF(Table1[[#This Row],[Stress_Level(1-10)]]&lt;=4,"Low",IF(Table1[[#This Row],[Stress_Level(1-10)]]&lt;=7,"Medium","High"))</f>
        <v>Medium</v>
      </c>
      <c r="N219" t="str">
        <f>IF(Table1[[#This Row],[Happiness_Index(1-10)]]&lt;=4,"Low",IF(Table1[[#This Row],[Happiness_Index(1-10)]]&lt;=7,"Normal","High"))</f>
        <v>High</v>
      </c>
    </row>
    <row r="220" spans="1:14" x14ac:dyDescent="0.25">
      <c r="A220" t="s">
        <v>237</v>
      </c>
      <c r="B220">
        <v>36</v>
      </c>
      <c r="C220" t="s">
        <v>19</v>
      </c>
      <c r="D220">
        <v>5</v>
      </c>
      <c r="E220">
        <v>8</v>
      </c>
      <c r="F220">
        <v>6</v>
      </c>
      <c r="G220">
        <v>4</v>
      </c>
      <c r="H220">
        <v>4</v>
      </c>
      <c r="I220" t="s">
        <v>15</v>
      </c>
      <c r="J220">
        <v>10</v>
      </c>
      <c r="K220" t="str">
        <f t="shared" si="3"/>
        <v>36–45</v>
      </c>
      <c r="L220" t="str">
        <f>IF(Table1[[#This Row],[Daily_Screen_Time(hrs)]]&lt;=3,"Low",IF(Table1[[#This Row],[Daily_Screen_Time(hrs)]]&lt;=6,"Medium","High"))</f>
        <v>Medium</v>
      </c>
      <c r="M220" t="str">
        <f>IF(Table1[[#This Row],[Stress_Level(1-10)]]&lt;=4,"Low",IF(Table1[[#This Row],[Stress_Level(1-10)]]&lt;=7,"Medium","High"))</f>
        <v>Medium</v>
      </c>
      <c r="N220" t="str">
        <f>IF(Table1[[#This Row],[Happiness_Index(1-10)]]&lt;=4,"Low",IF(Table1[[#This Row],[Happiness_Index(1-10)]]&lt;=7,"Normal","High"))</f>
        <v>High</v>
      </c>
    </row>
    <row r="221" spans="1:14" x14ac:dyDescent="0.25">
      <c r="A221" t="s">
        <v>238</v>
      </c>
      <c r="B221">
        <v>35</v>
      </c>
      <c r="C221" t="s">
        <v>19</v>
      </c>
      <c r="D221">
        <v>5.3</v>
      </c>
      <c r="E221">
        <v>6</v>
      </c>
      <c r="F221">
        <v>6</v>
      </c>
      <c r="G221">
        <v>3</v>
      </c>
      <c r="H221">
        <v>2</v>
      </c>
      <c r="I221" t="s">
        <v>22</v>
      </c>
      <c r="J221">
        <v>9</v>
      </c>
      <c r="K221" t="str">
        <f t="shared" si="3"/>
        <v>26–35</v>
      </c>
      <c r="L221" t="str">
        <f>IF(Table1[[#This Row],[Daily_Screen_Time(hrs)]]&lt;=3,"Low",IF(Table1[[#This Row],[Daily_Screen_Time(hrs)]]&lt;=6,"Medium","High"))</f>
        <v>Medium</v>
      </c>
      <c r="M221" t="str">
        <f>IF(Table1[[#This Row],[Stress_Level(1-10)]]&lt;=4,"Low",IF(Table1[[#This Row],[Stress_Level(1-10)]]&lt;=7,"Medium","High"))</f>
        <v>Medium</v>
      </c>
      <c r="N221" t="str">
        <f>IF(Table1[[#This Row],[Happiness_Index(1-10)]]&lt;=4,"Low",IF(Table1[[#This Row],[Happiness_Index(1-10)]]&lt;=7,"Normal","High"))</f>
        <v>High</v>
      </c>
    </row>
    <row r="222" spans="1:14" x14ac:dyDescent="0.25">
      <c r="A222" t="s">
        <v>239</v>
      </c>
      <c r="B222">
        <v>23</v>
      </c>
      <c r="C222" t="s">
        <v>14</v>
      </c>
      <c r="D222">
        <v>5.2</v>
      </c>
      <c r="E222">
        <v>7</v>
      </c>
      <c r="F222">
        <v>6</v>
      </c>
      <c r="G222">
        <v>5</v>
      </c>
      <c r="H222">
        <v>1</v>
      </c>
      <c r="I222" t="s">
        <v>17</v>
      </c>
      <c r="J222">
        <v>9</v>
      </c>
      <c r="K222" t="str">
        <f t="shared" si="3"/>
        <v>15–25</v>
      </c>
      <c r="L222" t="str">
        <f>IF(Table1[[#This Row],[Daily_Screen_Time(hrs)]]&lt;=3,"Low",IF(Table1[[#This Row],[Daily_Screen_Time(hrs)]]&lt;=6,"Medium","High"))</f>
        <v>Medium</v>
      </c>
      <c r="M222" t="str">
        <f>IF(Table1[[#This Row],[Stress_Level(1-10)]]&lt;=4,"Low",IF(Table1[[#This Row],[Stress_Level(1-10)]]&lt;=7,"Medium","High"))</f>
        <v>Medium</v>
      </c>
      <c r="N222" t="str">
        <f>IF(Table1[[#This Row],[Happiness_Index(1-10)]]&lt;=4,"Low",IF(Table1[[#This Row],[Happiness_Index(1-10)]]&lt;=7,"Normal","High"))</f>
        <v>High</v>
      </c>
    </row>
    <row r="223" spans="1:14" x14ac:dyDescent="0.25">
      <c r="A223" t="s">
        <v>240</v>
      </c>
      <c r="B223">
        <v>22</v>
      </c>
      <c r="C223" t="s">
        <v>11</v>
      </c>
      <c r="D223">
        <v>4.2</v>
      </c>
      <c r="E223">
        <v>6</v>
      </c>
      <c r="F223">
        <v>6</v>
      </c>
      <c r="G223">
        <v>0</v>
      </c>
      <c r="H223">
        <v>2</v>
      </c>
      <c r="I223" t="s">
        <v>17</v>
      </c>
      <c r="J223">
        <v>8</v>
      </c>
      <c r="K223" t="str">
        <f t="shared" si="3"/>
        <v>15–25</v>
      </c>
      <c r="L223" t="str">
        <f>IF(Table1[[#This Row],[Daily_Screen_Time(hrs)]]&lt;=3,"Low",IF(Table1[[#This Row],[Daily_Screen_Time(hrs)]]&lt;=6,"Medium","High"))</f>
        <v>Medium</v>
      </c>
      <c r="M223" t="str">
        <f>IF(Table1[[#This Row],[Stress_Level(1-10)]]&lt;=4,"Low",IF(Table1[[#This Row],[Stress_Level(1-10)]]&lt;=7,"Medium","High"))</f>
        <v>Medium</v>
      </c>
      <c r="N223" t="str">
        <f>IF(Table1[[#This Row],[Happiness_Index(1-10)]]&lt;=4,"Low",IF(Table1[[#This Row],[Happiness_Index(1-10)]]&lt;=7,"Normal","High"))</f>
        <v>High</v>
      </c>
    </row>
    <row r="224" spans="1:14" x14ac:dyDescent="0.25">
      <c r="A224" t="s">
        <v>241</v>
      </c>
      <c r="B224">
        <v>18</v>
      </c>
      <c r="C224" t="s">
        <v>19</v>
      </c>
      <c r="D224">
        <v>5.9</v>
      </c>
      <c r="E224">
        <v>8</v>
      </c>
      <c r="F224">
        <v>6</v>
      </c>
      <c r="G224">
        <v>0</v>
      </c>
      <c r="H224">
        <v>2</v>
      </c>
      <c r="I224" t="s">
        <v>12</v>
      </c>
      <c r="J224">
        <v>8</v>
      </c>
      <c r="K224" t="str">
        <f t="shared" si="3"/>
        <v>15–25</v>
      </c>
      <c r="L224" t="str">
        <f>IF(Table1[[#This Row],[Daily_Screen_Time(hrs)]]&lt;=3,"Low",IF(Table1[[#This Row],[Daily_Screen_Time(hrs)]]&lt;=6,"Medium","High"))</f>
        <v>Medium</v>
      </c>
      <c r="M224" t="str">
        <f>IF(Table1[[#This Row],[Stress_Level(1-10)]]&lt;=4,"Low",IF(Table1[[#This Row],[Stress_Level(1-10)]]&lt;=7,"Medium","High"))</f>
        <v>Medium</v>
      </c>
      <c r="N224" t="str">
        <f>IF(Table1[[#This Row],[Happiness_Index(1-10)]]&lt;=4,"Low",IF(Table1[[#This Row],[Happiness_Index(1-10)]]&lt;=7,"Normal","High"))</f>
        <v>High</v>
      </c>
    </row>
    <row r="225" spans="1:14" x14ac:dyDescent="0.25">
      <c r="A225" t="s">
        <v>242</v>
      </c>
      <c r="B225">
        <v>32</v>
      </c>
      <c r="C225" t="s">
        <v>19</v>
      </c>
      <c r="D225">
        <v>3.6</v>
      </c>
      <c r="E225">
        <v>7</v>
      </c>
      <c r="F225">
        <v>5</v>
      </c>
      <c r="G225">
        <v>3</v>
      </c>
      <c r="H225">
        <v>1</v>
      </c>
      <c r="I225" t="s">
        <v>12</v>
      </c>
      <c r="J225">
        <v>10</v>
      </c>
      <c r="K225" t="str">
        <f t="shared" si="3"/>
        <v>26–35</v>
      </c>
      <c r="L225" t="str">
        <f>IF(Table1[[#This Row],[Daily_Screen_Time(hrs)]]&lt;=3,"Low",IF(Table1[[#This Row],[Daily_Screen_Time(hrs)]]&lt;=6,"Medium","High"))</f>
        <v>Medium</v>
      </c>
      <c r="M225" t="str">
        <f>IF(Table1[[#This Row],[Stress_Level(1-10)]]&lt;=4,"Low",IF(Table1[[#This Row],[Stress_Level(1-10)]]&lt;=7,"Medium","High"))</f>
        <v>Medium</v>
      </c>
      <c r="N225" t="str">
        <f>IF(Table1[[#This Row],[Happiness_Index(1-10)]]&lt;=4,"Low",IF(Table1[[#This Row],[Happiness_Index(1-10)]]&lt;=7,"Normal","High"))</f>
        <v>High</v>
      </c>
    </row>
    <row r="226" spans="1:14" x14ac:dyDescent="0.25">
      <c r="A226" t="s">
        <v>243</v>
      </c>
      <c r="B226">
        <v>48</v>
      </c>
      <c r="C226" t="s">
        <v>11</v>
      </c>
      <c r="D226">
        <v>7.3</v>
      </c>
      <c r="E226">
        <v>5</v>
      </c>
      <c r="F226">
        <v>9</v>
      </c>
      <c r="G226">
        <v>4</v>
      </c>
      <c r="H226">
        <v>4</v>
      </c>
      <c r="I226" t="s">
        <v>26</v>
      </c>
      <c r="J226">
        <v>5</v>
      </c>
      <c r="K226" t="str">
        <f t="shared" si="3"/>
        <v>46+</v>
      </c>
      <c r="L226" t="str">
        <f>IF(Table1[[#This Row],[Daily_Screen_Time(hrs)]]&lt;=3,"Low",IF(Table1[[#This Row],[Daily_Screen_Time(hrs)]]&lt;=6,"Medium","High"))</f>
        <v>High</v>
      </c>
      <c r="M226" t="str">
        <f>IF(Table1[[#This Row],[Stress_Level(1-10)]]&lt;=4,"Low",IF(Table1[[#This Row],[Stress_Level(1-10)]]&lt;=7,"Medium","High"))</f>
        <v>High</v>
      </c>
      <c r="N226" t="str">
        <f>IF(Table1[[#This Row],[Happiness_Index(1-10)]]&lt;=4,"Low",IF(Table1[[#This Row],[Happiness_Index(1-10)]]&lt;=7,"Normal","High"))</f>
        <v>Normal</v>
      </c>
    </row>
    <row r="227" spans="1:14" x14ac:dyDescent="0.25">
      <c r="A227" t="s">
        <v>244</v>
      </c>
      <c r="B227">
        <v>27</v>
      </c>
      <c r="C227" t="s">
        <v>11</v>
      </c>
      <c r="D227">
        <v>6.6</v>
      </c>
      <c r="E227">
        <v>5</v>
      </c>
      <c r="F227">
        <v>7</v>
      </c>
      <c r="G227">
        <v>5</v>
      </c>
      <c r="H227">
        <v>2</v>
      </c>
      <c r="I227" t="s">
        <v>17</v>
      </c>
      <c r="J227">
        <v>7</v>
      </c>
      <c r="K227" t="str">
        <f t="shared" si="3"/>
        <v>26–35</v>
      </c>
      <c r="L227" t="str">
        <f>IF(Table1[[#This Row],[Daily_Screen_Time(hrs)]]&lt;=3,"Low",IF(Table1[[#This Row],[Daily_Screen_Time(hrs)]]&lt;=6,"Medium","High"))</f>
        <v>High</v>
      </c>
      <c r="M227" t="str">
        <f>IF(Table1[[#This Row],[Stress_Level(1-10)]]&lt;=4,"Low",IF(Table1[[#This Row],[Stress_Level(1-10)]]&lt;=7,"Medium","High"))</f>
        <v>Medium</v>
      </c>
      <c r="N227" t="str">
        <f>IF(Table1[[#This Row],[Happiness_Index(1-10)]]&lt;=4,"Low",IF(Table1[[#This Row],[Happiness_Index(1-10)]]&lt;=7,"Normal","High"))</f>
        <v>Normal</v>
      </c>
    </row>
    <row r="228" spans="1:14" x14ac:dyDescent="0.25">
      <c r="A228" t="s">
        <v>245</v>
      </c>
      <c r="B228">
        <v>37</v>
      </c>
      <c r="C228" t="s">
        <v>19</v>
      </c>
      <c r="D228">
        <v>4.5999999999999996</v>
      </c>
      <c r="E228">
        <v>9</v>
      </c>
      <c r="F228">
        <v>6</v>
      </c>
      <c r="G228">
        <v>3</v>
      </c>
      <c r="H228">
        <v>2</v>
      </c>
      <c r="I228" t="s">
        <v>17</v>
      </c>
      <c r="J228">
        <v>8</v>
      </c>
      <c r="K228" t="str">
        <f t="shared" si="3"/>
        <v>36–45</v>
      </c>
      <c r="L228" t="str">
        <f>IF(Table1[[#This Row],[Daily_Screen_Time(hrs)]]&lt;=3,"Low",IF(Table1[[#This Row],[Daily_Screen_Time(hrs)]]&lt;=6,"Medium","High"))</f>
        <v>Medium</v>
      </c>
      <c r="M228" t="str">
        <f>IF(Table1[[#This Row],[Stress_Level(1-10)]]&lt;=4,"Low",IF(Table1[[#This Row],[Stress_Level(1-10)]]&lt;=7,"Medium","High"))</f>
        <v>Medium</v>
      </c>
      <c r="N228" t="str">
        <f>IF(Table1[[#This Row],[Happiness_Index(1-10)]]&lt;=4,"Low",IF(Table1[[#This Row],[Happiness_Index(1-10)]]&lt;=7,"Normal","High"))</f>
        <v>High</v>
      </c>
    </row>
    <row r="229" spans="1:14" x14ac:dyDescent="0.25">
      <c r="A229" t="s">
        <v>246</v>
      </c>
      <c r="B229">
        <v>37</v>
      </c>
      <c r="C229" t="s">
        <v>19</v>
      </c>
      <c r="D229">
        <v>4.7</v>
      </c>
      <c r="E229">
        <v>9</v>
      </c>
      <c r="F229">
        <v>6</v>
      </c>
      <c r="G229">
        <v>3</v>
      </c>
      <c r="H229">
        <v>1</v>
      </c>
      <c r="I229" t="s">
        <v>17</v>
      </c>
      <c r="J229">
        <v>10</v>
      </c>
      <c r="K229" t="str">
        <f t="shared" si="3"/>
        <v>36–45</v>
      </c>
      <c r="L229" t="str">
        <f>IF(Table1[[#This Row],[Daily_Screen_Time(hrs)]]&lt;=3,"Low",IF(Table1[[#This Row],[Daily_Screen_Time(hrs)]]&lt;=6,"Medium","High"))</f>
        <v>Medium</v>
      </c>
      <c r="M229" t="str">
        <f>IF(Table1[[#This Row],[Stress_Level(1-10)]]&lt;=4,"Low",IF(Table1[[#This Row],[Stress_Level(1-10)]]&lt;=7,"Medium","High"))</f>
        <v>Medium</v>
      </c>
      <c r="N229" t="str">
        <f>IF(Table1[[#This Row],[Happiness_Index(1-10)]]&lt;=4,"Low",IF(Table1[[#This Row],[Happiness_Index(1-10)]]&lt;=7,"Normal","High"))</f>
        <v>High</v>
      </c>
    </row>
    <row r="230" spans="1:14" x14ac:dyDescent="0.25">
      <c r="A230" t="s">
        <v>247</v>
      </c>
      <c r="B230">
        <v>45</v>
      </c>
      <c r="C230" t="s">
        <v>19</v>
      </c>
      <c r="D230">
        <v>6</v>
      </c>
      <c r="E230">
        <v>8</v>
      </c>
      <c r="F230">
        <v>7</v>
      </c>
      <c r="G230">
        <v>2</v>
      </c>
      <c r="H230">
        <v>3</v>
      </c>
      <c r="I230" t="s">
        <v>12</v>
      </c>
      <c r="J230">
        <v>9</v>
      </c>
      <c r="K230" t="str">
        <f t="shared" si="3"/>
        <v>36–45</v>
      </c>
      <c r="L230" t="str">
        <f>IF(Table1[[#This Row],[Daily_Screen_Time(hrs)]]&lt;=3,"Low",IF(Table1[[#This Row],[Daily_Screen_Time(hrs)]]&lt;=6,"Medium","High"))</f>
        <v>Medium</v>
      </c>
      <c r="M230" t="str">
        <f>IF(Table1[[#This Row],[Stress_Level(1-10)]]&lt;=4,"Low",IF(Table1[[#This Row],[Stress_Level(1-10)]]&lt;=7,"Medium","High"))</f>
        <v>Medium</v>
      </c>
      <c r="N230" t="str">
        <f>IF(Table1[[#This Row],[Happiness_Index(1-10)]]&lt;=4,"Low",IF(Table1[[#This Row],[Happiness_Index(1-10)]]&lt;=7,"Normal","High"))</f>
        <v>High</v>
      </c>
    </row>
    <row r="231" spans="1:14" x14ac:dyDescent="0.25">
      <c r="A231" t="s">
        <v>248</v>
      </c>
      <c r="B231">
        <v>23</v>
      </c>
      <c r="C231" t="s">
        <v>11</v>
      </c>
      <c r="D231">
        <v>4.0999999999999996</v>
      </c>
      <c r="E231">
        <v>8</v>
      </c>
      <c r="F231">
        <v>5</v>
      </c>
      <c r="G231">
        <v>6</v>
      </c>
      <c r="H231">
        <v>3</v>
      </c>
      <c r="I231" t="s">
        <v>15</v>
      </c>
      <c r="J231">
        <v>10</v>
      </c>
      <c r="K231" t="str">
        <f t="shared" si="3"/>
        <v>15–25</v>
      </c>
      <c r="L231" t="str">
        <f>IF(Table1[[#This Row],[Daily_Screen_Time(hrs)]]&lt;=3,"Low",IF(Table1[[#This Row],[Daily_Screen_Time(hrs)]]&lt;=6,"Medium","High"))</f>
        <v>Medium</v>
      </c>
      <c r="M231" t="str">
        <f>IF(Table1[[#This Row],[Stress_Level(1-10)]]&lt;=4,"Low",IF(Table1[[#This Row],[Stress_Level(1-10)]]&lt;=7,"Medium","High"))</f>
        <v>Medium</v>
      </c>
      <c r="N231" t="str">
        <f>IF(Table1[[#This Row],[Happiness_Index(1-10)]]&lt;=4,"Low",IF(Table1[[#This Row],[Happiness_Index(1-10)]]&lt;=7,"Normal","High"))</f>
        <v>High</v>
      </c>
    </row>
    <row r="232" spans="1:14" x14ac:dyDescent="0.25">
      <c r="A232" t="s">
        <v>249</v>
      </c>
      <c r="B232">
        <v>42</v>
      </c>
      <c r="C232" t="s">
        <v>19</v>
      </c>
      <c r="D232">
        <v>8.8000000000000007</v>
      </c>
      <c r="E232">
        <v>4</v>
      </c>
      <c r="F232">
        <v>8</v>
      </c>
      <c r="G232">
        <v>1</v>
      </c>
      <c r="H232">
        <v>1</v>
      </c>
      <c r="I232" t="s">
        <v>15</v>
      </c>
      <c r="J232">
        <v>6</v>
      </c>
      <c r="K232" t="str">
        <f t="shared" si="3"/>
        <v>36–45</v>
      </c>
      <c r="L232" t="str">
        <f>IF(Table1[[#This Row],[Daily_Screen_Time(hrs)]]&lt;=3,"Low",IF(Table1[[#This Row],[Daily_Screen_Time(hrs)]]&lt;=6,"Medium","High"))</f>
        <v>High</v>
      </c>
      <c r="M232" t="str">
        <f>IF(Table1[[#This Row],[Stress_Level(1-10)]]&lt;=4,"Low",IF(Table1[[#This Row],[Stress_Level(1-10)]]&lt;=7,"Medium","High"))</f>
        <v>High</v>
      </c>
      <c r="N232" t="str">
        <f>IF(Table1[[#This Row],[Happiness_Index(1-10)]]&lt;=4,"Low",IF(Table1[[#This Row],[Happiness_Index(1-10)]]&lt;=7,"Normal","High"))</f>
        <v>Normal</v>
      </c>
    </row>
    <row r="233" spans="1:14" x14ac:dyDescent="0.25">
      <c r="A233" t="s">
        <v>250</v>
      </c>
      <c r="B233">
        <v>42</v>
      </c>
      <c r="C233" t="s">
        <v>11</v>
      </c>
      <c r="D233">
        <v>6.1</v>
      </c>
      <c r="E233">
        <v>7</v>
      </c>
      <c r="F233">
        <v>6</v>
      </c>
      <c r="G233">
        <v>4</v>
      </c>
      <c r="H233">
        <v>0</v>
      </c>
      <c r="I233" t="s">
        <v>22</v>
      </c>
      <c r="J233">
        <v>8</v>
      </c>
      <c r="K233" t="str">
        <f t="shared" si="3"/>
        <v>36–45</v>
      </c>
      <c r="L233" t="str">
        <f>IF(Table1[[#This Row],[Daily_Screen_Time(hrs)]]&lt;=3,"Low",IF(Table1[[#This Row],[Daily_Screen_Time(hrs)]]&lt;=6,"Medium","High"))</f>
        <v>High</v>
      </c>
      <c r="M233" t="str">
        <f>IF(Table1[[#This Row],[Stress_Level(1-10)]]&lt;=4,"Low",IF(Table1[[#This Row],[Stress_Level(1-10)]]&lt;=7,"Medium","High"))</f>
        <v>Medium</v>
      </c>
      <c r="N233" t="str">
        <f>IF(Table1[[#This Row],[Happiness_Index(1-10)]]&lt;=4,"Low",IF(Table1[[#This Row],[Happiness_Index(1-10)]]&lt;=7,"Normal","High"))</f>
        <v>High</v>
      </c>
    </row>
    <row r="234" spans="1:14" x14ac:dyDescent="0.25">
      <c r="A234" t="s">
        <v>251</v>
      </c>
      <c r="B234">
        <v>49</v>
      </c>
      <c r="C234" t="s">
        <v>11</v>
      </c>
      <c r="D234">
        <v>6.2</v>
      </c>
      <c r="E234">
        <v>6</v>
      </c>
      <c r="F234">
        <v>8</v>
      </c>
      <c r="G234">
        <v>1</v>
      </c>
      <c r="H234">
        <v>3</v>
      </c>
      <c r="I234" t="s">
        <v>15</v>
      </c>
      <c r="J234">
        <v>8</v>
      </c>
      <c r="K234" t="str">
        <f t="shared" si="3"/>
        <v>46+</v>
      </c>
      <c r="L234" t="str">
        <f>IF(Table1[[#This Row],[Daily_Screen_Time(hrs)]]&lt;=3,"Low",IF(Table1[[#This Row],[Daily_Screen_Time(hrs)]]&lt;=6,"Medium","High"))</f>
        <v>High</v>
      </c>
      <c r="M234" t="str">
        <f>IF(Table1[[#This Row],[Stress_Level(1-10)]]&lt;=4,"Low",IF(Table1[[#This Row],[Stress_Level(1-10)]]&lt;=7,"Medium","High"))</f>
        <v>High</v>
      </c>
      <c r="N234" t="str">
        <f>IF(Table1[[#This Row],[Happiness_Index(1-10)]]&lt;=4,"Low",IF(Table1[[#This Row],[Happiness_Index(1-10)]]&lt;=7,"Normal","High"))</f>
        <v>High</v>
      </c>
    </row>
    <row r="235" spans="1:14" x14ac:dyDescent="0.25">
      <c r="A235" t="s">
        <v>252</v>
      </c>
      <c r="B235">
        <v>36</v>
      </c>
      <c r="C235" t="s">
        <v>11</v>
      </c>
      <c r="D235">
        <v>6.7</v>
      </c>
      <c r="E235">
        <v>7</v>
      </c>
      <c r="F235">
        <v>7</v>
      </c>
      <c r="G235">
        <v>4</v>
      </c>
      <c r="H235">
        <v>2</v>
      </c>
      <c r="I235" t="s">
        <v>20</v>
      </c>
      <c r="J235">
        <v>8</v>
      </c>
      <c r="K235" t="str">
        <f t="shared" si="3"/>
        <v>36–45</v>
      </c>
      <c r="L235" t="str">
        <f>IF(Table1[[#This Row],[Daily_Screen_Time(hrs)]]&lt;=3,"Low",IF(Table1[[#This Row],[Daily_Screen_Time(hrs)]]&lt;=6,"Medium","High"))</f>
        <v>High</v>
      </c>
      <c r="M235" t="str">
        <f>IF(Table1[[#This Row],[Stress_Level(1-10)]]&lt;=4,"Low",IF(Table1[[#This Row],[Stress_Level(1-10)]]&lt;=7,"Medium","High"))</f>
        <v>Medium</v>
      </c>
      <c r="N235" t="str">
        <f>IF(Table1[[#This Row],[Happiness_Index(1-10)]]&lt;=4,"Low",IF(Table1[[#This Row],[Happiness_Index(1-10)]]&lt;=7,"Normal","High"))</f>
        <v>High</v>
      </c>
    </row>
    <row r="236" spans="1:14" x14ac:dyDescent="0.25">
      <c r="A236" t="s">
        <v>253</v>
      </c>
      <c r="B236">
        <v>45</v>
      </c>
      <c r="C236" t="s">
        <v>19</v>
      </c>
      <c r="D236">
        <v>4.5</v>
      </c>
      <c r="E236">
        <v>8</v>
      </c>
      <c r="F236">
        <v>6</v>
      </c>
      <c r="G236">
        <v>1</v>
      </c>
      <c r="H236">
        <v>3</v>
      </c>
      <c r="I236" t="s">
        <v>12</v>
      </c>
      <c r="J236">
        <v>10</v>
      </c>
      <c r="K236" t="str">
        <f t="shared" si="3"/>
        <v>36–45</v>
      </c>
      <c r="L236" t="str">
        <f>IF(Table1[[#This Row],[Daily_Screen_Time(hrs)]]&lt;=3,"Low",IF(Table1[[#This Row],[Daily_Screen_Time(hrs)]]&lt;=6,"Medium","High"))</f>
        <v>Medium</v>
      </c>
      <c r="M236" t="str">
        <f>IF(Table1[[#This Row],[Stress_Level(1-10)]]&lt;=4,"Low",IF(Table1[[#This Row],[Stress_Level(1-10)]]&lt;=7,"Medium","High"))</f>
        <v>Medium</v>
      </c>
      <c r="N236" t="str">
        <f>IF(Table1[[#This Row],[Happiness_Index(1-10)]]&lt;=4,"Low",IF(Table1[[#This Row],[Happiness_Index(1-10)]]&lt;=7,"Normal","High"))</f>
        <v>High</v>
      </c>
    </row>
    <row r="237" spans="1:14" x14ac:dyDescent="0.25">
      <c r="A237" t="s">
        <v>254</v>
      </c>
      <c r="B237">
        <v>48</v>
      </c>
      <c r="C237" t="s">
        <v>19</v>
      </c>
      <c r="D237">
        <v>7.5</v>
      </c>
      <c r="E237">
        <v>4</v>
      </c>
      <c r="F237">
        <v>9</v>
      </c>
      <c r="G237">
        <v>4</v>
      </c>
      <c r="H237">
        <v>5</v>
      </c>
      <c r="I237" t="s">
        <v>17</v>
      </c>
      <c r="J237">
        <v>5</v>
      </c>
      <c r="K237" t="str">
        <f t="shared" si="3"/>
        <v>46+</v>
      </c>
      <c r="L237" t="str">
        <f>IF(Table1[[#This Row],[Daily_Screen_Time(hrs)]]&lt;=3,"Low",IF(Table1[[#This Row],[Daily_Screen_Time(hrs)]]&lt;=6,"Medium","High"))</f>
        <v>High</v>
      </c>
      <c r="M237" t="str">
        <f>IF(Table1[[#This Row],[Stress_Level(1-10)]]&lt;=4,"Low",IF(Table1[[#This Row],[Stress_Level(1-10)]]&lt;=7,"Medium","High"))</f>
        <v>High</v>
      </c>
      <c r="N237" t="str">
        <f>IF(Table1[[#This Row],[Happiness_Index(1-10)]]&lt;=4,"Low",IF(Table1[[#This Row],[Happiness_Index(1-10)]]&lt;=7,"Normal","High"))</f>
        <v>Normal</v>
      </c>
    </row>
    <row r="238" spans="1:14" x14ac:dyDescent="0.25">
      <c r="A238" t="s">
        <v>255</v>
      </c>
      <c r="B238">
        <v>43</v>
      </c>
      <c r="C238" t="s">
        <v>19</v>
      </c>
      <c r="D238">
        <v>5.7</v>
      </c>
      <c r="E238">
        <v>7</v>
      </c>
      <c r="F238">
        <v>7</v>
      </c>
      <c r="G238">
        <v>3</v>
      </c>
      <c r="H238">
        <v>2</v>
      </c>
      <c r="I238" t="s">
        <v>15</v>
      </c>
      <c r="J238">
        <v>9</v>
      </c>
      <c r="K238" t="str">
        <f t="shared" si="3"/>
        <v>36–45</v>
      </c>
      <c r="L238" t="str">
        <f>IF(Table1[[#This Row],[Daily_Screen_Time(hrs)]]&lt;=3,"Low",IF(Table1[[#This Row],[Daily_Screen_Time(hrs)]]&lt;=6,"Medium","High"))</f>
        <v>Medium</v>
      </c>
      <c r="M238" t="str">
        <f>IF(Table1[[#This Row],[Stress_Level(1-10)]]&lt;=4,"Low",IF(Table1[[#This Row],[Stress_Level(1-10)]]&lt;=7,"Medium","High"))</f>
        <v>Medium</v>
      </c>
      <c r="N238" t="str">
        <f>IF(Table1[[#This Row],[Happiness_Index(1-10)]]&lt;=4,"Low",IF(Table1[[#This Row],[Happiness_Index(1-10)]]&lt;=7,"Normal","High"))</f>
        <v>High</v>
      </c>
    </row>
    <row r="239" spans="1:14" x14ac:dyDescent="0.25">
      <c r="A239" t="s">
        <v>256</v>
      </c>
      <c r="B239">
        <v>48</v>
      </c>
      <c r="C239" t="s">
        <v>11</v>
      </c>
      <c r="D239">
        <v>7.2</v>
      </c>
      <c r="E239">
        <v>6</v>
      </c>
      <c r="F239">
        <v>8</v>
      </c>
      <c r="G239">
        <v>6</v>
      </c>
      <c r="H239">
        <v>2</v>
      </c>
      <c r="I239" t="s">
        <v>12</v>
      </c>
      <c r="J239">
        <v>9</v>
      </c>
      <c r="K239" t="str">
        <f t="shared" si="3"/>
        <v>46+</v>
      </c>
      <c r="L239" t="str">
        <f>IF(Table1[[#This Row],[Daily_Screen_Time(hrs)]]&lt;=3,"Low",IF(Table1[[#This Row],[Daily_Screen_Time(hrs)]]&lt;=6,"Medium","High"))</f>
        <v>High</v>
      </c>
      <c r="M239" t="str">
        <f>IF(Table1[[#This Row],[Stress_Level(1-10)]]&lt;=4,"Low",IF(Table1[[#This Row],[Stress_Level(1-10)]]&lt;=7,"Medium","High"))</f>
        <v>High</v>
      </c>
      <c r="N239" t="str">
        <f>IF(Table1[[#This Row],[Happiness_Index(1-10)]]&lt;=4,"Low",IF(Table1[[#This Row],[Happiness_Index(1-10)]]&lt;=7,"Normal","High"))</f>
        <v>High</v>
      </c>
    </row>
    <row r="240" spans="1:14" x14ac:dyDescent="0.25">
      <c r="A240" t="s">
        <v>257</v>
      </c>
      <c r="B240">
        <v>20</v>
      </c>
      <c r="C240" t="s">
        <v>19</v>
      </c>
      <c r="D240">
        <v>5.0999999999999996</v>
      </c>
      <c r="E240">
        <v>4</v>
      </c>
      <c r="F240">
        <v>5</v>
      </c>
      <c r="G240">
        <v>2</v>
      </c>
      <c r="H240">
        <v>1</v>
      </c>
      <c r="I240" t="s">
        <v>15</v>
      </c>
      <c r="J240">
        <v>9</v>
      </c>
      <c r="K240" t="str">
        <f t="shared" si="3"/>
        <v>15–25</v>
      </c>
      <c r="L240" t="str">
        <f>IF(Table1[[#This Row],[Daily_Screen_Time(hrs)]]&lt;=3,"Low",IF(Table1[[#This Row],[Daily_Screen_Time(hrs)]]&lt;=6,"Medium","High"))</f>
        <v>Medium</v>
      </c>
      <c r="M240" t="str">
        <f>IF(Table1[[#This Row],[Stress_Level(1-10)]]&lt;=4,"Low",IF(Table1[[#This Row],[Stress_Level(1-10)]]&lt;=7,"Medium","High"))</f>
        <v>Medium</v>
      </c>
      <c r="N240" t="str">
        <f>IF(Table1[[#This Row],[Happiness_Index(1-10)]]&lt;=4,"Low",IF(Table1[[#This Row],[Happiness_Index(1-10)]]&lt;=7,"Normal","High"))</f>
        <v>High</v>
      </c>
    </row>
    <row r="241" spans="1:14" x14ac:dyDescent="0.25">
      <c r="A241" t="s">
        <v>258</v>
      </c>
      <c r="B241">
        <v>34</v>
      </c>
      <c r="C241" t="s">
        <v>11</v>
      </c>
      <c r="D241">
        <v>7.9</v>
      </c>
      <c r="E241">
        <v>6</v>
      </c>
      <c r="F241">
        <v>8</v>
      </c>
      <c r="G241">
        <v>4</v>
      </c>
      <c r="H241">
        <v>2</v>
      </c>
      <c r="I241" t="s">
        <v>26</v>
      </c>
      <c r="J241">
        <v>7</v>
      </c>
      <c r="K241" t="str">
        <f t="shared" si="3"/>
        <v>26–35</v>
      </c>
      <c r="L241" t="str">
        <f>IF(Table1[[#This Row],[Daily_Screen_Time(hrs)]]&lt;=3,"Low",IF(Table1[[#This Row],[Daily_Screen_Time(hrs)]]&lt;=6,"Medium","High"))</f>
        <v>High</v>
      </c>
      <c r="M241" t="str">
        <f>IF(Table1[[#This Row],[Stress_Level(1-10)]]&lt;=4,"Low",IF(Table1[[#This Row],[Stress_Level(1-10)]]&lt;=7,"Medium","High"))</f>
        <v>High</v>
      </c>
      <c r="N241" t="str">
        <f>IF(Table1[[#This Row],[Happiness_Index(1-10)]]&lt;=4,"Low",IF(Table1[[#This Row],[Happiness_Index(1-10)]]&lt;=7,"Normal","High"))</f>
        <v>Normal</v>
      </c>
    </row>
    <row r="242" spans="1:14" x14ac:dyDescent="0.25">
      <c r="A242" t="s">
        <v>259</v>
      </c>
      <c r="B242">
        <v>19</v>
      </c>
      <c r="C242" t="s">
        <v>19</v>
      </c>
      <c r="D242">
        <v>6.2</v>
      </c>
      <c r="E242">
        <v>5</v>
      </c>
      <c r="F242">
        <v>7</v>
      </c>
      <c r="G242">
        <v>1</v>
      </c>
      <c r="H242">
        <v>3</v>
      </c>
      <c r="I242" t="s">
        <v>17</v>
      </c>
      <c r="J242">
        <v>8</v>
      </c>
      <c r="K242" t="str">
        <f t="shared" si="3"/>
        <v>15–25</v>
      </c>
      <c r="L242" t="str">
        <f>IF(Table1[[#This Row],[Daily_Screen_Time(hrs)]]&lt;=3,"Low",IF(Table1[[#This Row],[Daily_Screen_Time(hrs)]]&lt;=6,"Medium","High"))</f>
        <v>High</v>
      </c>
      <c r="M242" t="str">
        <f>IF(Table1[[#This Row],[Stress_Level(1-10)]]&lt;=4,"Low",IF(Table1[[#This Row],[Stress_Level(1-10)]]&lt;=7,"Medium","High"))</f>
        <v>Medium</v>
      </c>
      <c r="N242" t="str">
        <f>IF(Table1[[#This Row],[Happiness_Index(1-10)]]&lt;=4,"Low",IF(Table1[[#This Row],[Happiness_Index(1-10)]]&lt;=7,"Normal","High"))</f>
        <v>High</v>
      </c>
    </row>
    <row r="243" spans="1:14" x14ac:dyDescent="0.25">
      <c r="A243" t="s">
        <v>260</v>
      </c>
      <c r="B243">
        <v>32</v>
      </c>
      <c r="C243" t="s">
        <v>11</v>
      </c>
      <c r="D243">
        <v>9.4</v>
      </c>
      <c r="E243">
        <v>3</v>
      </c>
      <c r="F243">
        <v>9</v>
      </c>
      <c r="G243">
        <v>2</v>
      </c>
      <c r="H243">
        <v>3</v>
      </c>
      <c r="I243" t="s">
        <v>26</v>
      </c>
      <c r="J243">
        <v>5</v>
      </c>
      <c r="K243" t="str">
        <f t="shared" si="3"/>
        <v>26–35</v>
      </c>
      <c r="L243" t="str">
        <f>IF(Table1[[#This Row],[Daily_Screen_Time(hrs)]]&lt;=3,"Low",IF(Table1[[#This Row],[Daily_Screen_Time(hrs)]]&lt;=6,"Medium","High"))</f>
        <v>High</v>
      </c>
      <c r="M243" t="str">
        <f>IF(Table1[[#This Row],[Stress_Level(1-10)]]&lt;=4,"Low",IF(Table1[[#This Row],[Stress_Level(1-10)]]&lt;=7,"Medium","High"))</f>
        <v>High</v>
      </c>
      <c r="N243" t="str">
        <f>IF(Table1[[#This Row],[Happiness_Index(1-10)]]&lt;=4,"Low",IF(Table1[[#This Row],[Happiness_Index(1-10)]]&lt;=7,"Normal","High"))</f>
        <v>Normal</v>
      </c>
    </row>
    <row r="244" spans="1:14" x14ac:dyDescent="0.25">
      <c r="A244" t="s">
        <v>261</v>
      </c>
      <c r="B244">
        <v>43</v>
      </c>
      <c r="C244" t="s">
        <v>11</v>
      </c>
      <c r="D244">
        <v>4.8</v>
      </c>
      <c r="E244">
        <v>6</v>
      </c>
      <c r="F244">
        <v>5</v>
      </c>
      <c r="G244">
        <v>3</v>
      </c>
      <c r="H244">
        <v>5</v>
      </c>
      <c r="I244" t="s">
        <v>17</v>
      </c>
      <c r="J244">
        <v>10</v>
      </c>
      <c r="K244" t="str">
        <f t="shared" si="3"/>
        <v>36–45</v>
      </c>
      <c r="L244" t="str">
        <f>IF(Table1[[#This Row],[Daily_Screen_Time(hrs)]]&lt;=3,"Low",IF(Table1[[#This Row],[Daily_Screen_Time(hrs)]]&lt;=6,"Medium","High"))</f>
        <v>Medium</v>
      </c>
      <c r="M244" t="str">
        <f>IF(Table1[[#This Row],[Stress_Level(1-10)]]&lt;=4,"Low",IF(Table1[[#This Row],[Stress_Level(1-10)]]&lt;=7,"Medium","High"))</f>
        <v>Medium</v>
      </c>
      <c r="N244" t="str">
        <f>IF(Table1[[#This Row],[Happiness_Index(1-10)]]&lt;=4,"Low",IF(Table1[[#This Row],[Happiness_Index(1-10)]]&lt;=7,"Normal","High"))</f>
        <v>High</v>
      </c>
    </row>
    <row r="245" spans="1:14" x14ac:dyDescent="0.25">
      <c r="A245" t="s">
        <v>262</v>
      </c>
      <c r="B245">
        <v>45</v>
      </c>
      <c r="C245" t="s">
        <v>11</v>
      </c>
      <c r="D245">
        <v>5.9</v>
      </c>
      <c r="E245">
        <v>6</v>
      </c>
      <c r="F245">
        <v>8</v>
      </c>
      <c r="G245">
        <v>0</v>
      </c>
      <c r="H245">
        <v>3</v>
      </c>
      <c r="I245" t="s">
        <v>12</v>
      </c>
      <c r="J245">
        <v>7</v>
      </c>
      <c r="K245" t="str">
        <f t="shared" si="3"/>
        <v>36–45</v>
      </c>
      <c r="L245" t="str">
        <f>IF(Table1[[#This Row],[Daily_Screen_Time(hrs)]]&lt;=3,"Low",IF(Table1[[#This Row],[Daily_Screen_Time(hrs)]]&lt;=6,"Medium","High"))</f>
        <v>Medium</v>
      </c>
      <c r="M245" t="str">
        <f>IF(Table1[[#This Row],[Stress_Level(1-10)]]&lt;=4,"Low",IF(Table1[[#This Row],[Stress_Level(1-10)]]&lt;=7,"Medium","High"))</f>
        <v>High</v>
      </c>
      <c r="N245" t="str">
        <f>IF(Table1[[#This Row],[Happiness_Index(1-10)]]&lt;=4,"Low",IF(Table1[[#This Row],[Happiness_Index(1-10)]]&lt;=7,"Normal","High"))</f>
        <v>Normal</v>
      </c>
    </row>
    <row r="246" spans="1:14" x14ac:dyDescent="0.25">
      <c r="A246" t="s">
        <v>263</v>
      </c>
      <c r="B246">
        <v>44</v>
      </c>
      <c r="C246" t="s">
        <v>11</v>
      </c>
      <c r="D246">
        <v>3.6</v>
      </c>
      <c r="E246">
        <v>8</v>
      </c>
      <c r="F246">
        <v>5</v>
      </c>
      <c r="G246">
        <v>0</v>
      </c>
      <c r="H246">
        <v>2</v>
      </c>
      <c r="I246" t="s">
        <v>22</v>
      </c>
      <c r="J246">
        <v>10</v>
      </c>
      <c r="K246" t="str">
        <f t="shared" si="3"/>
        <v>36–45</v>
      </c>
      <c r="L246" t="str">
        <f>IF(Table1[[#This Row],[Daily_Screen_Time(hrs)]]&lt;=3,"Low",IF(Table1[[#This Row],[Daily_Screen_Time(hrs)]]&lt;=6,"Medium","High"))</f>
        <v>Medium</v>
      </c>
      <c r="M246" t="str">
        <f>IF(Table1[[#This Row],[Stress_Level(1-10)]]&lt;=4,"Low",IF(Table1[[#This Row],[Stress_Level(1-10)]]&lt;=7,"Medium","High"))</f>
        <v>Medium</v>
      </c>
      <c r="N246" t="str">
        <f>IF(Table1[[#This Row],[Happiness_Index(1-10)]]&lt;=4,"Low",IF(Table1[[#This Row],[Happiness_Index(1-10)]]&lt;=7,"Normal","High"))</f>
        <v>High</v>
      </c>
    </row>
    <row r="247" spans="1:14" x14ac:dyDescent="0.25">
      <c r="A247" t="s">
        <v>264</v>
      </c>
      <c r="B247">
        <v>21</v>
      </c>
      <c r="C247" t="s">
        <v>19</v>
      </c>
      <c r="D247">
        <v>4.5</v>
      </c>
      <c r="E247">
        <v>6</v>
      </c>
      <c r="F247">
        <v>6</v>
      </c>
      <c r="G247">
        <v>4</v>
      </c>
      <c r="H247">
        <v>1</v>
      </c>
      <c r="I247" t="s">
        <v>15</v>
      </c>
      <c r="J247">
        <v>9</v>
      </c>
      <c r="K247" t="str">
        <f t="shared" si="3"/>
        <v>15–25</v>
      </c>
      <c r="L247" t="str">
        <f>IF(Table1[[#This Row],[Daily_Screen_Time(hrs)]]&lt;=3,"Low",IF(Table1[[#This Row],[Daily_Screen_Time(hrs)]]&lt;=6,"Medium","High"))</f>
        <v>Medium</v>
      </c>
      <c r="M247" t="str">
        <f>IF(Table1[[#This Row],[Stress_Level(1-10)]]&lt;=4,"Low",IF(Table1[[#This Row],[Stress_Level(1-10)]]&lt;=7,"Medium","High"))</f>
        <v>Medium</v>
      </c>
      <c r="N247" t="str">
        <f>IF(Table1[[#This Row],[Happiness_Index(1-10)]]&lt;=4,"Low",IF(Table1[[#This Row],[Happiness_Index(1-10)]]&lt;=7,"Normal","High"))</f>
        <v>High</v>
      </c>
    </row>
    <row r="248" spans="1:14" x14ac:dyDescent="0.25">
      <c r="A248" t="s">
        <v>265</v>
      </c>
      <c r="B248">
        <v>39</v>
      </c>
      <c r="C248" t="s">
        <v>19</v>
      </c>
      <c r="D248">
        <v>6.6</v>
      </c>
      <c r="E248">
        <v>6</v>
      </c>
      <c r="F248">
        <v>7</v>
      </c>
      <c r="G248">
        <v>3</v>
      </c>
      <c r="H248">
        <v>3</v>
      </c>
      <c r="I248" t="s">
        <v>15</v>
      </c>
      <c r="J248">
        <v>7</v>
      </c>
      <c r="K248" t="str">
        <f t="shared" si="3"/>
        <v>36–45</v>
      </c>
      <c r="L248" t="str">
        <f>IF(Table1[[#This Row],[Daily_Screen_Time(hrs)]]&lt;=3,"Low",IF(Table1[[#This Row],[Daily_Screen_Time(hrs)]]&lt;=6,"Medium","High"))</f>
        <v>High</v>
      </c>
      <c r="M248" t="str">
        <f>IF(Table1[[#This Row],[Stress_Level(1-10)]]&lt;=4,"Low",IF(Table1[[#This Row],[Stress_Level(1-10)]]&lt;=7,"Medium","High"))</f>
        <v>Medium</v>
      </c>
      <c r="N248" t="str">
        <f>IF(Table1[[#This Row],[Happiness_Index(1-10)]]&lt;=4,"Low",IF(Table1[[#This Row],[Happiness_Index(1-10)]]&lt;=7,"Normal","High"))</f>
        <v>Normal</v>
      </c>
    </row>
    <row r="249" spans="1:14" x14ac:dyDescent="0.25">
      <c r="A249" t="s">
        <v>266</v>
      </c>
      <c r="B249">
        <v>44</v>
      </c>
      <c r="C249" t="s">
        <v>11</v>
      </c>
      <c r="D249">
        <v>7.5</v>
      </c>
      <c r="E249">
        <v>6</v>
      </c>
      <c r="F249">
        <v>9</v>
      </c>
      <c r="G249">
        <v>2</v>
      </c>
      <c r="H249">
        <v>1</v>
      </c>
      <c r="I249" t="s">
        <v>20</v>
      </c>
      <c r="J249">
        <v>6</v>
      </c>
      <c r="K249" t="str">
        <f t="shared" si="3"/>
        <v>36–45</v>
      </c>
      <c r="L249" t="str">
        <f>IF(Table1[[#This Row],[Daily_Screen_Time(hrs)]]&lt;=3,"Low",IF(Table1[[#This Row],[Daily_Screen_Time(hrs)]]&lt;=6,"Medium","High"))</f>
        <v>High</v>
      </c>
      <c r="M249" t="str">
        <f>IF(Table1[[#This Row],[Stress_Level(1-10)]]&lt;=4,"Low",IF(Table1[[#This Row],[Stress_Level(1-10)]]&lt;=7,"Medium","High"))</f>
        <v>High</v>
      </c>
      <c r="N249" t="str">
        <f>IF(Table1[[#This Row],[Happiness_Index(1-10)]]&lt;=4,"Low",IF(Table1[[#This Row],[Happiness_Index(1-10)]]&lt;=7,"Normal","High"))</f>
        <v>Normal</v>
      </c>
    </row>
    <row r="250" spans="1:14" x14ac:dyDescent="0.25">
      <c r="A250" t="s">
        <v>267</v>
      </c>
      <c r="B250">
        <v>46</v>
      </c>
      <c r="C250" t="s">
        <v>19</v>
      </c>
      <c r="D250">
        <v>10.8</v>
      </c>
      <c r="E250">
        <v>5</v>
      </c>
      <c r="F250">
        <v>10</v>
      </c>
      <c r="G250">
        <v>2</v>
      </c>
      <c r="H250">
        <v>3</v>
      </c>
      <c r="I250" t="s">
        <v>26</v>
      </c>
      <c r="J250">
        <v>4</v>
      </c>
      <c r="K250" t="str">
        <f t="shared" si="3"/>
        <v>46+</v>
      </c>
      <c r="L250" t="str">
        <f>IF(Table1[[#This Row],[Daily_Screen_Time(hrs)]]&lt;=3,"Low",IF(Table1[[#This Row],[Daily_Screen_Time(hrs)]]&lt;=6,"Medium","High"))</f>
        <v>High</v>
      </c>
      <c r="M250" t="str">
        <f>IF(Table1[[#This Row],[Stress_Level(1-10)]]&lt;=4,"Low",IF(Table1[[#This Row],[Stress_Level(1-10)]]&lt;=7,"Medium","High"))</f>
        <v>High</v>
      </c>
      <c r="N250" t="str">
        <f>IF(Table1[[#This Row],[Happiness_Index(1-10)]]&lt;=4,"Low",IF(Table1[[#This Row],[Happiness_Index(1-10)]]&lt;=7,"Normal","High"))</f>
        <v>Low</v>
      </c>
    </row>
    <row r="251" spans="1:14" x14ac:dyDescent="0.25">
      <c r="A251" t="s">
        <v>268</v>
      </c>
      <c r="B251">
        <v>48</v>
      </c>
      <c r="C251" t="s">
        <v>11</v>
      </c>
      <c r="D251">
        <v>5.3</v>
      </c>
      <c r="E251">
        <v>5</v>
      </c>
      <c r="F251">
        <v>5</v>
      </c>
      <c r="G251">
        <v>2</v>
      </c>
      <c r="H251">
        <v>3</v>
      </c>
      <c r="I251" t="s">
        <v>15</v>
      </c>
      <c r="J251">
        <v>8</v>
      </c>
      <c r="K251" t="str">
        <f t="shared" si="3"/>
        <v>46+</v>
      </c>
      <c r="L251" t="str">
        <f>IF(Table1[[#This Row],[Daily_Screen_Time(hrs)]]&lt;=3,"Low",IF(Table1[[#This Row],[Daily_Screen_Time(hrs)]]&lt;=6,"Medium","High"))</f>
        <v>Medium</v>
      </c>
      <c r="M251" t="str">
        <f>IF(Table1[[#This Row],[Stress_Level(1-10)]]&lt;=4,"Low",IF(Table1[[#This Row],[Stress_Level(1-10)]]&lt;=7,"Medium","High"))</f>
        <v>Medium</v>
      </c>
      <c r="N251" t="str">
        <f>IF(Table1[[#This Row],[Happiness_Index(1-10)]]&lt;=4,"Low",IF(Table1[[#This Row],[Happiness_Index(1-10)]]&lt;=7,"Normal","High"))</f>
        <v>High</v>
      </c>
    </row>
    <row r="252" spans="1:14" x14ac:dyDescent="0.25">
      <c r="A252" t="s">
        <v>269</v>
      </c>
      <c r="B252">
        <v>36</v>
      </c>
      <c r="C252" t="s">
        <v>19</v>
      </c>
      <c r="D252">
        <v>3.8</v>
      </c>
      <c r="E252">
        <v>7</v>
      </c>
      <c r="F252">
        <v>5</v>
      </c>
      <c r="G252">
        <v>3</v>
      </c>
      <c r="H252">
        <v>2</v>
      </c>
      <c r="I252" t="s">
        <v>12</v>
      </c>
      <c r="J252">
        <v>9</v>
      </c>
      <c r="K252" t="str">
        <f t="shared" si="3"/>
        <v>36–45</v>
      </c>
      <c r="L252" t="str">
        <f>IF(Table1[[#This Row],[Daily_Screen_Time(hrs)]]&lt;=3,"Low",IF(Table1[[#This Row],[Daily_Screen_Time(hrs)]]&lt;=6,"Medium","High"))</f>
        <v>Medium</v>
      </c>
      <c r="M252" t="str">
        <f>IF(Table1[[#This Row],[Stress_Level(1-10)]]&lt;=4,"Low",IF(Table1[[#This Row],[Stress_Level(1-10)]]&lt;=7,"Medium","High"))</f>
        <v>Medium</v>
      </c>
      <c r="N252" t="str">
        <f>IF(Table1[[#This Row],[Happiness_Index(1-10)]]&lt;=4,"Low",IF(Table1[[#This Row],[Happiness_Index(1-10)]]&lt;=7,"Normal","High"))</f>
        <v>High</v>
      </c>
    </row>
    <row r="253" spans="1:14" x14ac:dyDescent="0.25">
      <c r="A253" t="s">
        <v>270</v>
      </c>
      <c r="B253">
        <v>47</v>
      </c>
      <c r="C253" t="s">
        <v>19</v>
      </c>
      <c r="D253">
        <v>6.9</v>
      </c>
      <c r="E253">
        <v>6</v>
      </c>
      <c r="F253">
        <v>8</v>
      </c>
      <c r="G253">
        <v>4</v>
      </c>
      <c r="H253">
        <v>2</v>
      </c>
      <c r="I253" t="s">
        <v>22</v>
      </c>
      <c r="J253">
        <v>8</v>
      </c>
      <c r="K253" t="str">
        <f t="shared" si="3"/>
        <v>46+</v>
      </c>
      <c r="L253" t="str">
        <f>IF(Table1[[#This Row],[Daily_Screen_Time(hrs)]]&lt;=3,"Low",IF(Table1[[#This Row],[Daily_Screen_Time(hrs)]]&lt;=6,"Medium","High"))</f>
        <v>High</v>
      </c>
      <c r="M253" t="str">
        <f>IF(Table1[[#This Row],[Stress_Level(1-10)]]&lt;=4,"Low",IF(Table1[[#This Row],[Stress_Level(1-10)]]&lt;=7,"Medium","High"))</f>
        <v>High</v>
      </c>
      <c r="N253" t="str">
        <f>IF(Table1[[#This Row],[Happiness_Index(1-10)]]&lt;=4,"Low",IF(Table1[[#This Row],[Happiness_Index(1-10)]]&lt;=7,"Normal","High"))</f>
        <v>High</v>
      </c>
    </row>
    <row r="254" spans="1:14" x14ac:dyDescent="0.25">
      <c r="A254" t="s">
        <v>271</v>
      </c>
      <c r="B254">
        <v>38</v>
      </c>
      <c r="C254" t="s">
        <v>19</v>
      </c>
      <c r="D254">
        <v>3.5</v>
      </c>
      <c r="E254">
        <v>9</v>
      </c>
      <c r="F254">
        <v>4</v>
      </c>
      <c r="G254">
        <v>0</v>
      </c>
      <c r="H254">
        <v>0</v>
      </c>
      <c r="I254" t="s">
        <v>12</v>
      </c>
      <c r="J254">
        <v>10</v>
      </c>
      <c r="K254" t="str">
        <f t="shared" si="3"/>
        <v>36–45</v>
      </c>
      <c r="L254" t="str">
        <f>IF(Table1[[#This Row],[Daily_Screen_Time(hrs)]]&lt;=3,"Low",IF(Table1[[#This Row],[Daily_Screen_Time(hrs)]]&lt;=6,"Medium","High"))</f>
        <v>Medium</v>
      </c>
      <c r="M254" t="str">
        <f>IF(Table1[[#This Row],[Stress_Level(1-10)]]&lt;=4,"Low",IF(Table1[[#This Row],[Stress_Level(1-10)]]&lt;=7,"Medium","High"))</f>
        <v>Low</v>
      </c>
      <c r="N254" t="str">
        <f>IF(Table1[[#This Row],[Happiness_Index(1-10)]]&lt;=4,"Low",IF(Table1[[#This Row],[Happiness_Index(1-10)]]&lt;=7,"Normal","High"))</f>
        <v>High</v>
      </c>
    </row>
    <row r="255" spans="1:14" x14ac:dyDescent="0.25">
      <c r="A255" t="s">
        <v>272</v>
      </c>
      <c r="B255">
        <v>48</v>
      </c>
      <c r="C255" t="s">
        <v>11</v>
      </c>
      <c r="D255">
        <v>6.5</v>
      </c>
      <c r="E255">
        <v>5</v>
      </c>
      <c r="F255">
        <v>8</v>
      </c>
      <c r="G255">
        <v>6</v>
      </c>
      <c r="H255">
        <v>4</v>
      </c>
      <c r="I255" t="s">
        <v>26</v>
      </c>
      <c r="J255">
        <v>8</v>
      </c>
      <c r="K255" t="str">
        <f t="shared" si="3"/>
        <v>46+</v>
      </c>
      <c r="L255" t="str">
        <f>IF(Table1[[#This Row],[Daily_Screen_Time(hrs)]]&lt;=3,"Low",IF(Table1[[#This Row],[Daily_Screen_Time(hrs)]]&lt;=6,"Medium","High"))</f>
        <v>High</v>
      </c>
      <c r="M255" t="str">
        <f>IF(Table1[[#This Row],[Stress_Level(1-10)]]&lt;=4,"Low",IF(Table1[[#This Row],[Stress_Level(1-10)]]&lt;=7,"Medium","High"))</f>
        <v>High</v>
      </c>
      <c r="N255" t="str">
        <f>IF(Table1[[#This Row],[Happiness_Index(1-10)]]&lt;=4,"Low",IF(Table1[[#This Row],[Happiness_Index(1-10)]]&lt;=7,"Normal","High"))</f>
        <v>High</v>
      </c>
    </row>
    <row r="256" spans="1:14" x14ac:dyDescent="0.25">
      <c r="A256" t="s">
        <v>273</v>
      </c>
      <c r="B256">
        <v>18</v>
      </c>
      <c r="C256" t="s">
        <v>19</v>
      </c>
      <c r="D256">
        <v>4.5999999999999996</v>
      </c>
      <c r="E256">
        <v>8</v>
      </c>
      <c r="F256">
        <v>7</v>
      </c>
      <c r="G256">
        <v>6</v>
      </c>
      <c r="H256">
        <v>3</v>
      </c>
      <c r="I256" t="s">
        <v>20</v>
      </c>
      <c r="J256">
        <v>9</v>
      </c>
      <c r="K256" t="str">
        <f t="shared" si="3"/>
        <v>15–25</v>
      </c>
      <c r="L256" t="str">
        <f>IF(Table1[[#This Row],[Daily_Screen_Time(hrs)]]&lt;=3,"Low",IF(Table1[[#This Row],[Daily_Screen_Time(hrs)]]&lt;=6,"Medium","High"))</f>
        <v>Medium</v>
      </c>
      <c r="M256" t="str">
        <f>IF(Table1[[#This Row],[Stress_Level(1-10)]]&lt;=4,"Low",IF(Table1[[#This Row],[Stress_Level(1-10)]]&lt;=7,"Medium","High"))</f>
        <v>Medium</v>
      </c>
      <c r="N256" t="str">
        <f>IF(Table1[[#This Row],[Happiness_Index(1-10)]]&lt;=4,"Low",IF(Table1[[#This Row],[Happiness_Index(1-10)]]&lt;=7,"Normal","High"))</f>
        <v>High</v>
      </c>
    </row>
    <row r="257" spans="1:14" x14ac:dyDescent="0.25">
      <c r="A257" t="s">
        <v>274</v>
      </c>
      <c r="B257">
        <v>33</v>
      </c>
      <c r="C257" t="s">
        <v>19</v>
      </c>
      <c r="D257">
        <v>5.9</v>
      </c>
      <c r="E257">
        <v>4</v>
      </c>
      <c r="F257">
        <v>7</v>
      </c>
      <c r="G257">
        <v>0</v>
      </c>
      <c r="H257">
        <v>3</v>
      </c>
      <c r="I257" t="s">
        <v>15</v>
      </c>
      <c r="J257">
        <v>5</v>
      </c>
      <c r="K257" t="str">
        <f t="shared" si="3"/>
        <v>26–35</v>
      </c>
      <c r="L257" t="str">
        <f>IF(Table1[[#This Row],[Daily_Screen_Time(hrs)]]&lt;=3,"Low",IF(Table1[[#This Row],[Daily_Screen_Time(hrs)]]&lt;=6,"Medium","High"))</f>
        <v>Medium</v>
      </c>
      <c r="M257" t="str">
        <f>IF(Table1[[#This Row],[Stress_Level(1-10)]]&lt;=4,"Low",IF(Table1[[#This Row],[Stress_Level(1-10)]]&lt;=7,"Medium","High"))</f>
        <v>Medium</v>
      </c>
      <c r="N257" t="str">
        <f>IF(Table1[[#This Row],[Happiness_Index(1-10)]]&lt;=4,"Low",IF(Table1[[#This Row],[Happiness_Index(1-10)]]&lt;=7,"Normal","High"))</f>
        <v>Normal</v>
      </c>
    </row>
    <row r="258" spans="1:14" x14ac:dyDescent="0.25">
      <c r="A258" t="s">
        <v>275</v>
      </c>
      <c r="B258">
        <v>40</v>
      </c>
      <c r="C258" t="s">
        <v>11</v>
      </c>
      <c r="D258">
        <v>7.5</v>
      </c>
      <c r="E258">
        <v>4</v>
      </c>
      <c r="F258">
        <v>8</v>
      </c>
      <c r="G258">
        <v>5</v>
      </c>
      <c r="H258">
        <v>0</v>
      </c>
      <c r="I258" t="s">
        <v>12</v>
      </c>
      <c r="J258">
        <v>7</v>
      </c>
      <c r="K258" t="str">
        <f t="shared" ref="K258:K321" si="4">IF(B258&lt;=25,"15–25",IF(B258&lt;=35,"26–35",IF(B258&lt;=45,"36–45","46+")))</f>
        <v>36–45</v>
      </c>
      <c r="L258" t="str">
        <f>IF(Table1[[#This Row],[Daily_Screen_Time(hrs)]]&lt;=3,"Low",IF(Table1[[#This Row],[Daily_Screen_Time(hrs)]]&lt;=6,"Medium","High"))</f>
        <v>High</v>
      </c>
      <c r="M258" t="str">
        <f>IF(Table1[[#This Row],[Stress_Level(1-10)]]&lt;=4,"Low",IF(Table1[[#This Row],[Stress_Level(1-10)]]&lt;=7,"Medium","High"))</f>
        <v>High</v>
      </c>
      <c r="N258" t="str">
        <f>IF(Table1[[#This Row],[Happiness_Index(1-10)]]&lt;=4,"Low",IF(Table1[[#This Row],[Happiness_Index(1-10)]]&lt;=7,"Normal","High"))</f>
        <v>Normal</v>
      </c>
    </row>
    <row r="259" spans="1:14" x14ac:dyDescent="0.25">
      <c r="A259" t="s">
        <v>276</v>
      </c>
      <c r="B259">
        <v>46</v>
      </c>
      <c r="C259" t="s">
        <v>11</v>
      </c>
      <c r="D259">
        <v>5.3</v>
      </c>
      <c r="E259">
        <v>7</v>
      </c>
      <c r="F259">
        <v>8</v>
      </c>
      <c r="G259">
        <v>5</v>
      </c>
      <c r="H259">
        <v>5</v>
      </c>
      <c r="I259" t="s">
        <v>17</v>
      </c>
      <c r="J259">
        <v>9</v>
      </c>
      <c r="K259" t="str">
        <f t="shared" si="4"/>
        <v>46+</v>
      </c>
      <c r="L259" t="str">
        <f>IF(Table1[[#This Row],[Daily_Screen_Time(hrs)]]&lt;=3,"Low",IF(Table1[[#This Row],[Daily_Screen_Time(hrs)]]&lt;=6,"Medium","High"))</f>
        <v>Medium</v>
      </c>
      <c r="M259" t="str">
        <f>IF(Table1[[#This Row],[Stress_Level(1-10)]]&lt;=4,"Low",IF(Table1[[#This Row],[Stress_Level(1-10)]]&lt;=7,"Medium","High"))</f>
        <v>High</v>
      </c>
      <c r="N259" t="str">
        <f>IF(Table1[[#This Row],[Happiness_Index(1-10)]]&lt;=4,"Low",IF(Table1[[#This Row],[Happiness_Index(1-10)]]&lt;=7,"Normal","High"))</f>
        <v>High</v>
      </c>
    </row>
    <row r="260" spans="1:14" x14ac:dyDescent="0.25">
      <c r="A260" t="s">
        <v>277</v>
      </c>
      <c r="B260">
        <v>18</v>
      </c>
      <c r="C260" t="s">
        <v>19</v>
      </c>
      <c r="D260">
        <v>7.2</v>
      </c>
      <c r="E260">
        <v>4</v>
      </c>
      <c r="F260">
        <v>7</v>
      </c>
      <c r="G260">
        <v>3</v>
      </c>
      <c r="H260">
        <v>2</v>
      </c>
      <c r="I260" t="s">
        <v>22</v>
      </c>
      <c r="J260">
        <v>6</v>
      </c>
      <c r="K260" t="str">
        <f t="shared" si="4"/>
        <v>15–25</v>
      </c>
      <c r="L260" t="str">
        <f>IF(Table1[[#This Row],[Daily_Screen_Time(hrs)]]&lt;=3,"Low",IF(Table1[[#This Row],[Daily_Screen_Time(hrs)]]&lt;=6,"Medium","High"))</f>
        <v>High</v>
      </c>
      <c r="M260" t="str">
        <f>IF(Table1[[#This Row],[Stress_Level(1-10)]]&lt;=4,"Low",IF(Table1[[#This Row],[Stress_Level(1-10)]]&lt;=7,"Medium","High"))</f>
        <v>Medium</v>
      </c>
      <c r="N260" t="str">
        <f>IF(Table1[[#This Row],[Happiness_Index(1-10)]]&lt;=4,"Low",IF(Table1[[#This Row],[Happiness_Index(1-10)]]&lt;=7,"Normal","High"))</f>
        <v>Normal</v>
      </c>
    </row>
    <row r="261" spans="1:14" x14ac:dyDescent="0.25">
      <c r="A261" t="s">
        <v>278</v>
      </c>
      <c r="B261">
        <v>39</v>
      </c>
      <c r="C261" t="s">
        <v>19</v>
      </c>
      <c r="D261">
        <v>7.1</v>
      </c>
      <c r="E261">
        <v>4</v>
      </c>
      <c r="F261">
        <v>8</v>
      </c>
      <c r="G261">
        <v>0</v>
      </c>
      <c r="H261">
        <v>2</v>
      </c>
      <c r="I261" t="s">
        <v>12</v>
      </c>
      <c r="J261">
        <v>7</v>
      </c>
      <c r="K261" t="str">
        <f t="shared" si="4"/>
        <v>36–45</v>
      </c>
      <c r="L261" t="str">
        <f>IF(Table1[[#This Row],[Daily_Screen_Time(hrs)]]&lt;=3,"Low",IF(Table1[[#This Row],[Daily_Screen_Time(hrs)]]&lt;=6,"Medium","High"))</f>
        <v>High</v>
      </c>
      <c r="M261" t="str">
        <f>IF(Table1[[#This Row],[Stress_Level(1-10)]]&lt;=4,"Low",IF(Table1[[#This Row],[Stress_Level(1-10)]]&lt;=7,"Medium","High"))</f>
        <v>High</v>
      </c>
      <c r="N261" t="str">
        <f>IF(Table1[[#This Row],[Happiness_Index(1-10)]]&lt;=4,"Low",IF(Table1[[#This Row],[Happiness_Index(1-10)]]&lt;=7,"Normal","High"))</f>
        <v>Normal</v>
      </c>
    </row>
    <row r="262" spans="1:14" x14ac:dyDescent="0.25">
      <c r="A262" t="s">
        <v>279</v>
      </c>
      <c r="B262">
        <v>47</v>
      </c>
      <c r="C262" t="s">
        <v>19</v>
      </c>
      <c r="D262">
        <v>2.1</v>
      </c>
      <c r="E262">
        <v>8</v>
      </c>
      <c r="F262">
        <v>4</v>
      </c>
      <c r="G262">
        <v>5</v>
      </c>
      <c r="H262">
        <v>1</v>
      </c>
      <c r="I262" t="s">
        <v>22</v>
      </c>
      <c r="J262">
        <v>10</v>
      </c>
      <c r="K262" t="str">
        <f t="shared" si="4"/>
        <v>46+</v>
      </c>
      <c r="L262" t="str">
        <f>IF(Table1[[#This Row],[Daily_Screen_Time(hrs)]]&lt;=3,"Low",IF(Table1[[#This Row],[Daily_Screen_Time(hrs)]]&lt;=6,"Medium","High"))</f>
        <v>Low</v>
      </c>
      <c r="M262" t="str">
        <f>IF(Table1[[#This Row],[Stress_Level(1-10)]]&lt;=4,"Low",IF(Table1[[#This Row],[Stress_Level(1-10)]]&lt;=7,"Medium","High"))</f>
        <v>Low</v>
      </c>
      <c r="N262" t="str">
        <f>IF(Table1[[#This Row],[Happiness_Index(1-10)]]&lt;=4,"Low",IF(Table1[[#This Row],[Happiness_Index(1-10)]]&lt;=7,"Normal","High"))</f>
        <v>High</v>
      </c>
    </row>
    <row r="263" spans="1:14" x14ac:dyDescent="0.25">
      <c r="A263" t="s">
        <v>280</v>
      </c>
      <c r="B263">
        <v>37</v>
      </c>
      <c r="C263" t="s">
        <v>19</v>
      </c>
      <c r="D263">
        <v>3.9</v>
      </c>
      <c r="E263">
        <v>8</v>
      </c>
      <c r="F263">
        <v>6</v>
      </c>
      <c r="G263">
        <v>3</v>
      </c>
      <c r="H263">
        <v>0</v>
      </c>
      <c r="I263" t="s">
        <v>15</v>
      </c>
      <c r="J263">
        <v>10</v>
      </c>
      <c r="K263" t="str">
        <f t="shared" si="4"/>
        <v>36–45</v>
      </c>
      <c r="L263" t="str">
        <f>IF(Table1[[#This Row],[Daily_Screen_Time(hrs)]]&lt;=3,"Low",IF(Table1[[#This Row],[Daily_Screen_Time(hrs)]]&lt;=6,"Medium","High"))</f>
        <v>Medium</v>
      </c>
      <c r="M263" t="str">
        <f>IF(Table1[[#This Row],[Stress_Level(1-10)]]&lt;=4,"Low",IF(Table1[[#This Row],[Stress_Level(1-10)]]&lt;=7,"Medium","High"))</f>
        <v>Medium</v>
      </c>
      <c r="N263" t="str">
        <f>IF(Table1[[#This Row],[Happiness_Index(1-10)]]&lt;=4,"Low",IF(Table1[[#This Row],[Happiness_Index(1-10)]]&lt;=7,"Normal","High"))</f>
        <v>High</v>
      </c>
    </row>
    <row r="264" spans="1:14" x14ac:dyDescent="0.25">
      <c r="A264" t="s">
        <v>281</v>
      </c>
      <c r="B264">
        <v>38</v>
      </c>
      <c r="C264" t="s">
        <v>19</v>
      </c>
      <c r="D264">
        <v>2.7</v>
      </c>
      <c r="E264">
        <v>6</v>
      </c>
      <c r="F264">
        <v>3</v>
      </c>
      <c r="G264">
        <v>4</v>
      </c>
      <c r="H264">
        <v>4</v>
      </c>
      <c r="I264" t="s">
        <v>17</v>
      </c>
      <c r="J264">
        <v>10</v>
      </c>
      <c r="K264" t="str">
        <f t="shared" si="4"/>
        <v>36–45</v>
      </c>
      <c r="L264" t="str">
        <f>IF(Table1[[#This Row],[Daily_Screen_Time(hrs)]]&lt;=3,"Low",IF(Table1[[#This Row],[Daily_Screen_Time(hrs)]]&lt;=6,"Medium","High"))</f>
        <v>Low</v>
      </c>
      <c r="M264" t="str">
        <f>IF(Table1[[#This Row],[Stress_Level(1-10)]]&lt;=4,"Low",IF(Table1[[#This Row],[Stress_Level(1-10)]]&lt;=7,"Medium","High"))</f>
        <v>Low</v>
      </c>
      <c r="N264" t="str">
        <f>IF(Table1[[#This Row],[Happiness_Index(1-10)]]&lt;=4,"Low",IF(Table1[[#This Row],[Happiness_Index(1-10)]]&lt;=7,"Normal","High"))</f>
        <v>High</v>
      </c>
    </row>
    <row r="265" spans="1:14" x14ac:dyDescent="0.25">
      <c r="A265" t="s">
        <v>282</v>
      </c>
      <c r="B265">
        <v>17</v>
      </c>
      <c r="C265" t="s">
        <v>11</v>
      </c>
      <c r="D265">
        <v>9.1</v>
      </c>
      <c r="E265">
        <v>4</v>
      </c>
      <c r="F265">
        <v>9</v>
      </c>
      <c r="G265">
        <v>7</v>
      </c>
      <c r="H265">
        <v>4</v>
      </c>
      <c r="I265" t="s">
        <v>20</v>
      </c>
      <c r="J265">
        <v>4</v>
      </c>
      <c r="K265" t="str">
        <f t="shared" si="4"/>
        <v>15–25</v>
      </c>
      <c r="L265" t="str">
        <f>IF(Table1[[#This Row],[Daily_Screen_Time(hrs)]]&lt;=3,"Low",IF(Table1[[#This Row],[Daily_Screen_Time(hrs)]]&lt;=6,"Medium","High"))</f>
        <v>High</v>
      </c>
      <c r="M265" t="str">
        <f>IF(Table1[[#This Row],[Stress_Level(1-10)]]&lt;=4,"Low",IF(Table1[[#This Row],[Stress_Level(1-10)]]&lt;=7,"Medium","High"))</f>
        <v>High</v>
      </c>
      <c r="N265" t="str">
        <f>IF(Table1[[#This Row],[Happiness_Index(1-10)]]&lt;=4,"Low",IF(Table1[[#This Row],[Happiness_Index(1-10)]]&lt;=7,"Normal","High"))</f>
        <v>Low</v>
      </c>
    </row>
    <row r="266" spans="1:14" x14ac:dyDescent="0.25">
      <c r="A266" t="s">
        <v>283</v>
      </c>
      <c r="B266">
        <v>42</v>
      </c>
      <c r="C266" t="s">
        <v>11</v>
      </c>
      <c r="D266">
        <v>5.3</v>
      </c>
      <c r="E266">
        <v>7</v>
      </c>
      <c r="F266">
        <v>7</v>
      </c>
      <c r="G266">
        <v>4</v>
      </c>
      <c r="H266">
        <v>2</v>
      </c>
      <c r="I266" t="s">
        <v>20</v>
      </c>
      <c r="J266">
        <v>8</v>
      </c>
      <c r="K266" t="str">
        <f t="shared" si="4"/>
        <v>36–45</v>
      </c>
      <c r="L266" t="str">
        <f>IF(Table1[[#This Row],[Daily_Screen_Time(hrs)]]&lt;=3,"Low",IF(Table1[[#This Row],[Daily_Screen_Time(hrs)]]&lt;=6,"Medium","High"))</f>
        <v>Medium</v>
      </c>
      <c r="M266" t="str">
        <f>IF(Table1[[#This Row],[Stress_Level(1-10)]]&lt;=4,"Low",IF(Table1[[#This Row],[Stress_Level(1-10)]]&lt;=7,"Medium","High"))</f>
        <v>Medium</v>
      </c>
      <c r="N266" t="str">
        <f>IF(Table1[[#This Row],[Happiness_Index(1-10)]]&lt;=4,"Low",IF(Table1[[#This Row],[Happiness_Index(1-10)]]&lt;=7,"Normal","High"))</f>
        <v>High</v>
      </c>
    </row>
    <row r="267" spans="1:14" x14ac:dyDescent="0.25">
      <c r="A267" t="s">
        <v>284</v>
      </c>
      <c r="B267">
        <v>17</v>
      </c>
      <c r="C267" t="s">
        <v>11</v>
      </c>
      <c r="D267">
        <v>8.6999999999999993</v>
      </c>
      <c r="E267">
        <v>4</v>
      </c>
      <c r="F267">
        <v>8</v>
      </c>
      <c r="G267">
        <v>1</v>
      </c>
      <c r="H267">
        <v>1</v>
      </c>
      <c r="I267" t="s">
        <v>17</v>
      </c>
      <c r="J267">
        <v>7</v>
      </c>
      <c r="K267" t="str">
        <f t="shared" si="4"/>
        <v>15–25</v>
      </c>
      <c r="L267" t="str">
        <f>IF(Table1[[#This Row],[Daily_Screen_Time(hrs)]]&lt;=3,"Low",IF(Table1[[#This Row],[Daily_Screen_Time(hrs)]]&lt;=6,"Medium","High"))</f>
        <v>High</v>
      </c>
      <c r="M267" t="str">
        <f>IF(Table1[[#This Row],[Stress_Level(1-10)]]&lt;=4,"Low",IF(Table1[[#This Row],[Stress_Level(1-10)]]&lt;=7,"Medium","High"))</f>
        <v>High</v>
      </c>
      <c r="N267" t="str">
        <f>IF(Table1[[#This Row],[Happiness_Index(1-10)]]&lt;=4,"Low",IF(Table1[[#This Row],[Happiness_Index(1-10)]]&lt;=7,"Normal","High"))</f>
        <v>Normal</v>
      </c>
    </row>
    <row r="268" spans="1:14" x14ac:dyDescent="0.25">
      <c r="A268" t="s">
        <v>285</v>
      </c>
      <c r="B268">
        <v>41</v>
      </c>
      <c r="C268" t="s">
        <v>19</v>
      </c>
      <c r="D268">
        <v>2.6</v>
      </c>
      <c r="E268">
        <v>8</v>
      </c>
      <c r="F268">
        <v>4</v>
      </c>
      <c r="G268">
        <v>2</v>
      </c>
      <c r="H268">
        <v>2</v>
      </c>
      <c r="I268" t="s">
        <v>22</v>
      </c>
      <c r="J268">
        <v>10</v>
      </c>
      <c r="K268" t="str">
        <f t="shared" si="4"/>
        <v>36–45</v>
      </c>
      <c r="L268" t="str">
        <f>IF(Table1[[#This Row],[Daily_Screen_Time(hrs)]]&lt;=3,"Low",IF(Table1[[#This Row],[Daily_Screen_Time(hrs)]]&lt;=6,"Medium","High"))</f>
        <v>Low</v>
      </c>
      <c r="M268" t="str">
        <f>IF(Table1[[#This Row],[Stress_Level(1-10)]]&lt;=4,"Low",IF(Table1[[#This Row],[Stress_Level(1-10)]]&lt;=7,"Medium","High"))</f>
        <v>Low</v>
      </c>
      <c r="N268" t="str">
        <f>IF(Table1[[#This Row],[Happiness_Index(1-10)]]&lt;=4,"Low",IF(Table1[[#This Row],[Happiness_Index(1-10)]]&lt;=7,"Normal","High"))</f>
        <v>High</v>
      </c>
    </row>
    <row r="269" spans="1:14" x14ac:dyDescent="0.25">
      <c r="A269" t="s">
        <v>286</v>
      </c>
      <c r="B269">
        <v>32</v>
      </c>
      <c r="C269" t="s">
        <v>11</v>
      </c>
      <c r="D269">
        <v>4.5</v>
      </c>
      <c r="E269">
        <v>7</v>
      </c>
      <c r="F269">
        <v>6</v>
      </c>
      <c r="G269">
        <v>1</v>
      </c>
      <c r="H269">
        <v>2</v>
      </c>
      <c r="I269" t="s">
        <v>15</v>
      </c>
      <c r="J269">
        <v>8</v>
      </c>
      <c r="K269" t="str">
        <f t="shared" si="4"/>
        <v>26–35</v>
      </c>
      <c r="L269" t="str">
        <f>IF(Table1[[#This Row],[Daily_Screen_Time(hrs)]]&lt;=3,"Low",IF(Table1[[#This Row],[Daily_Screen_Time(hrs)]]&lt;=6,"Medium","High"))</f>
        <v>Medium</v>
      </c>
      <c r="M269" t="str">
        <f>IF(Table1[[#This Row],[Stress_Level(1-10)]]&lt;=4,"Low",IF(Table1[[#This Row],[Stress_Level(1-10)]]&lt;=7,"Medium","High"))</f>
        <v>Medium</v>
      </c>
      <c r="N269" t="str">
        <f>IF(Table1[[#This Row],[Happiness_Index(1-10)]]&lt;=4,"Low",IF(Table1[[#This Row],[Happiness_Index(1-10)]]&lt;=7,"Normal","High"))</f>
        <v>High</v>
      </c>
    </row>
    <row r="270" spans="1:14" x14ac:dyDescent="0.25">
      <c r="A270" t="s">
        <v>287</v>
      </c>
      <c r="B270">
        <v>48</v>
      </c>
      <c r="C270" t="s">
        <v>19</v>
      </c>
      <c r="D270">
        <v>6.9</v>
      </c>
      <c r="E270">
        <v>5</v>
      </c>
      <c r="F270">
        <v>9</v>
      </c>
      <c r="G270">
        <v>4</v>
      </c>
      <c r="H270">
        <v>1</v>
      </c>
      <c r="I270" t="s">
        <v>12</v>
      </c>
      <c r="J270">
        <v>6</v>
      </c>
      <c r="K270" t="str">
        <f t="shared" si="4"/>
        <v>46+</v>
      </c>
      <c r="L270" t="str">
        <f>IF(Table1[[#This Row],[Daily_Screen_Time(hrs)]]&lt;=3,"Low",IF(Table1[[#This Row],[Daily_Screen_Time(hrs)]]&lt;=6,"Medium","High"))</f>
        <v>High</v>
      </c>
      <c r="M270" t="str">
        <f>IF(Table1[[#This Row],[Stress_Level(1-10)]]&lt;=4,"Low",IF(Table1[[#This Row],[Stress_Level(1-10)]]&lt;=7,"Medium","High"))</f>
        <v>High</v>
      </c>
      <c r="N270" t="str">
        <f>IF(Table1[[#This Row],[Happiness_Index(1-10)]]&lt;=4,"Low",IF(Table1[[#This Row],[Happiness_Index(1-10)]]&lt;=7,"Normal","High"))</f>
        <v>Normal</v>
      </c>
    </row>
    <row r="271" spans="1:14" x14ac:dyDescent="0.25">
      <c r="A271" t="s">
        <v>288</v>
      </c>
      <c r="B271">
        <v>24</v>
      </c>
      <c r="C271" t="s">
        <v>19</v>
      </c>
      <c r="D271">
        <v>5.8</v>
      </c>
      <c r="E271">
        <v>8</v>
      </c>
      <c r="F271">
        <v>6</v>
      </c>
      <c r="G271">
        <v>1</v>
      </c>
      <c r="H271">
        <v>2</v>
      </c>
      <c r="I271" t="s">
        <v>17</v>
      </c>
      <c r="J271">
        <v>10</v>
      </c>
      <c r="K271" t="str">
        <f t="shared" si="4"/>
        <v>15–25</v>
      </c>
      <c r="L271" t="str">
        <f>IF(Table1[[#This Row],[Daily_Screen_Time(hrs)]]&lt;=3,"Low",IF(Table1[[#This Row],[Daily_Screen_Time(hrs)]]&lt;=6,"Medium","High"))</f>
        <v>Medium</v>
      </c>
      <c r="M271" t="str">
        <f>IF(Table1[[#This Row],[Stress_Level(1-10)]]&lt;=4,"Low",IF(Table1[[#This Row],[Stress_Level(1-10)]]&lt;=7,"Medium","High"))</f>
        <v>Medium</v>
      </c>
      <c r="N271" t="str">
        <f>IF(Table1[[#This Row],[Happiness_Index(1-10)]]&lt;=4,"Low",IF(Table1[[#This Row],[Happiness_Index(1-10)]]&lt;=7,"Normal","High"))</f>
        <v>High</v>
      </c>
    </row>
    <row r="272" spans="1:14" x14ac:dyDescent="0.25">
      <c r="A272" t="s">
        <v>289</v>
      </c>
      <c r="B272">
        <v>44</v>
      </c>
      <c r="C272" t="s">
        <v>19</v>
      </c>
      <c r="D272">
        <v>6.5</v>
      </c>
      <c r="E272">
        <v>5</v>
      </c>
      <c r="F272">
        <v>6</v>
      </c>
      <c r="G272">
        <v>2</v>
      </c>
      <c r="H272">
        <v>3</v>
      </c>
      <c r="I272" t="s">
        <v>26</v>
      </c>
      <c r="J272">
        <v>8</v>
      </c>
      <c r="K272" t="str">
        <f t="shared" si="4"/>
        <v>36–45</v>
      </c>
      <c r="L272" t="str">
        <f>IF(Table1[[#This Row],[Daily_Screen_Time(hrs)]]&lt;=3,"Low",IF(Table1[[#This Row],[Daily_Screen_Time(hrs)]]&lt;=6,"Medium","High"))</f>
        <v>High</v>
      </c>
      <c r="M272" t="str">
        <f>IF(Table1[[#This Row],[Stress_Level(1-10)]]&lt;=4,"Low",IF(Table1[[#This Row],[Stress_Level(1-10)]]&lt;=7,"Medium","High"))</f>
        <v>Medium</v>
      </c>
      <c r="N272" t="str">
        <f>IF(Table1[[#This Row],[Happiness_Index(1-10)]]&lt;=4,"Low",IF(Table1[[#This Row],[Happiness_Index(1-10)]]&lt;=7,"Normal","High"))</f>
        <v>High</v>
      </c>
    </row>
    <row r="273" spans="1:14" x14ac:dyDescent="0.25">
      <c r="A273" t="s">
        <v>290</v>
      </c>
      <c r="B273">
        <v>41</v>
      </c>
      <c r="C273" t="s">
        <v>11</v>
      </c>
      <c r="D273">
        <v>3.2</v>
      </c>
      <c r="E273">
        <v>8</v>
      </c>
      <c r="F273">
        <v>6</v>
      </c>
      <c r="G273">
        <v>0</v>
      </c>
      <c r="H273">
        <v>4</v>
      </c>
      <c r="I273" t="s">
        <v>22</v>
      </c>
      <c r="J273">
        <v>10</v>
      </c>
      <c r="K273" t="str">
        <f t="shared" si="4"/>
        <v>36–45</v>
      </c>
      <c r="L273" t="str">
        <f>IF(Table1[[#This Row],[Daily_Screen_Time(hrs)]]&lt;=3,"Low",IF(Table1[[#This Row],[Daily_Screen_Time(hrs)]]&lt;=6,"Medium","High"))</f>
        <v>Medium</v>
      </c>
      <c r="M273" t="str">
        <f>IF(Table1[[#This Row],[Stress_Level(1-10)]]&lt;=4,"Low",IF(Table1[[#This Row],[Stress_Level(1-10)]]&lt;=7,"Medium","High"))</f>
        <v>Medium</v>
      </c>
      <c r="N273" t="str">
        <f>IF(Table1[[#This Row],[Happiness_Index(1-10)]]&lt;=4,"Low",IF(Table1[[#This Row],[Happiness_Index(1-10)]]&lt;=7,"Normal","High"))</f>
        <v>High</v>
      </c>
    </row>
    <row r="274" spans="1:14" x14ac:dyDescent="0.25">
      <c r="A274" t="s">
        <v>291</v>
      </c>
      <c r="B274">
        <v>40</v>
      </c>
      <c r="C274" t="s">
        <v>19</v>
      </c>
      <c r="D274">
        <v>8</v>
      </c>
      <c r="E274">
        <v>5</v>
      </c>
      <c r="F274">
        <v>8</v>
      </c>
      <c r="G274">
        <v>3</v>
      </c>
      <c r="H274">
        <v>3</v>
      </c>
      <c r="I274" t="s">
        <v>20</v>
      </c>
      <c r="J274">
        <v>6</v>
      </c>
      <c r="K274" t="str">
        <f t="shared" si="4"/>
        <v>36–45</v>
      </c>
      <c r="L274" t="str">
        <f>IF(Table1[[#This Row],[Daily_Screen_Time(hrs)]]&lt;=3,"Low",IF(Table1[[#This Row],[Daily_Screen_Time(hrs)]]&lt;=6,"Medium","High"))</f>
        <v>High</v>
      </c>
      <c r="M274" t="str">
        <f>IF(Table1[[#This Row],[Stress_Level(1-10)]]&lt;=4,"Low",IF(Table1[[#This Row],[Stress_Level(1-10)]]&lt;=7,"Medium","High"))</f>
        <v>High</v>
      </c>
      <c r="N274" t="str">
        <f>IF(Table1[[#This Row],[Happiness_Index(1-10)]]&lt;=4,"Low",IF(Table1[[#This Row],[Happiness_Index(1-10)]]&lt;=7,"Normal","High"))</f>
        <v>Normal</v>
      </c>
    </row>
    <row r="275" spans="1:14" x14ac:dyDescent="0.25">
      <c r="A275" t="s">
        <v>292</v>
      </c>
      <c r="B275">
        <v>39</v>
      </c>
      <c r="C275" t="s">
        <v>11</v>
      </c>
      <c r="D275">
        <v>6.9</v>
      </c>
      <c r="E275">
        <v>5</v>
      </c>
      <c r="F275">
        <v>7</v>
      </c>
      <c r="G275">
        <v>3</v>
      </c>
      <c r="H275">
        <v>0</v>
      </c>
      <c r="I275" t="s">
        <v>17</v>
      </c>
      <c r="J275">
        <v>9</v>
      </c>
      <c r="K275" t="str">
        <f t="shared" si="4"/>
        <v>36–45</v>
      </c>
      <c r="L275" t="str">
        <f>IF(Table1[[#This Row],[Daily_Screen_Time(hrs)]]&lt;=3,"Low",IF(Table1[[#This Row],[Daily_Screen_Time(hrs)]]&lt;=6,"Medium","High"))</f>
        <v>High</v>
      </c>
      <c r="M275" t="str">
        <f>IF(Table1[[#This Row],[Stress_Level(1-10)]]&lt;=4,"Low",IF(Table1[[#This Row],[Stress_Level(1-10)]]&lt;=7,"Medium","High"))</f>
        <v>Medium</v>
      </c>
      <c r="N275" t="str">
        <f>IF(Table1[[#This Row],[Happiness_Index(1-10)]]&lt;=4,"Low",IF(Table1[[#This Row],[Happiness_Index(1-10)]]&lt;=7,"Normal","High"))</f>
        <v>High</v>
      </c>
    </row>
    <row r="276" spans="1:14" x14ac:dyDescent="0.25">
      <c r="A276" t="s">
        <v>293</v>
      </c>
      <c r="B276">
        <v>28</v>
      </c>
      <c r="C276" t="s">
        <v>19</v>
      </c>
      <c r="D276">
        <v>6.2</v>
      </c>
      <c r="E276">
        <v>3</v>
      </c>
      <c r="F276">
        <v>8</v>
      </c>
      <c r="G276">
        <v>0</v>
      </c>
      <c r="H276">
        <v>3</v>
      </c>
      <c r="I276" t="s">
        <v>20</v>
      </c>
      <c r="J276">
        <v>5</v>
      </c>
      <c r="K276" t="str">
        <f t="shared" si="4"/>
        <v>26–35</v>
      </c>
      <c r="L276" t="str">
        <f>IF(Table1[[#This Row],[Daily_Screen_Time(hrs)]]&lt;=3,"Low",IF(Table1[[#This Row],[Daily_Screen_Time(hrs)]]&lt;=6,"Medium","High"))</f>
        <v>High</v>
      </c>
      <c r="M276" t="str">
        <f>IF(Table1[[#This Row],[Stress_Level(1-10)]]&lt;=4,"Low",IF(Table1[[#This Row],[Stress_Level(1-10)]]&lt;=7,"Medium","High"))</f>
        <v>High</v>
      </c>
      <c r="N276" t="str">
        <f>IF(Table1[[#This Row],[Happiness_Index(1-10)]]&lt;=4,"Low",IF(Table1[[#This Row],[Happiness_Index(1-10)]]&lt;=7,"Normal","High"))</f>
        <v>Normal</v>
      </c>
    </row>
    <row r="277" spans="1:14" x14ac:dyDescent="0.25">
      <c r="A277" t="s">
        <v>294</v>
      </c>
      <c r="B277">
        <v>22</v>
      </c>
      <c r="C277" t="s">
        <v>11</v>
      </c>
      <c r="D277">
        <v>4.3</v>
      </c>
      <c r="E277">
        <v>7</v>
      </c>
      <c r="F277">
        <v>5</v>
      </c>
      <c r="G277">
        <v>4</v>
      </c>
      <c r="H277">
        <v>2</v>
      </c>
      <c r="I277" t="s">
        <v>22</v>
      </c>
      <c r="J277">
        <v>10</v>
      </c>
      <c r="K277" t="str">
        <f t="shared" si="4"/>
        <v>15–25</v>
      </c>
      <c r="L277" t="str">
        <f>IF(Table1[[#This Row],[Daily_Screen_Time(hrs)]]&lt;=3,"Low",IF(Table1[[#This Row],[Daily_Screen_Time(hrs)]]&lt;=6,"Medium","High"))</f>
        <v>Medium</v>
      </c>
      <c r="M277" t="str">
        <f>IF(Table1[[#This Row],[Stress_Level(1-10)]]&lt;=4,"Low",IF(Table1[[#This Row],[Stress_Level(1-10)]]&lt;=7,"Medium","High"))</f>
        <v>Medium</v>
      </c>
      <c r="N277" t="str">
        <f>IF(Table1[[#This Row],[Happiness_Index(1-10)]]&lt;=4,"Low",IF(Table1[[#This Row],[Happiness_Index(1-10)]]&lt;=7,"Normal","High"))</f>
        <v>High</v>
      </c>
    </row>
    <row r="278" spans="1:14" x14ac:dyDescent="0.25">
      <c r="A278" t="s">
        <v>295</v>
      </c>
      <c r="B278">
        <v>35</v>
      </c>
      <c r="C278" t="s">
        <v>11</v>
      </c>
      <c r="D278">
        <v>6.1</v>
      </c>
      <c r="E278">
        <v>7</v>
      </c>
      <c r="F278">
        <v>8</v>
      </c>
      <c r="G278">
        <v>3</v>
      </c>
      <c r="H278">
        <v>5</v>
      </c>
      <c r="I278" t="s">
        <v>20</v>
      </c>
      <c r="J278">
        <v>9</v>
      </c>
      <c r="K278" t="str">
        <f t="shared" si="4"/>
        <v>26–35</v>
      </c>
      <c r="L278" t="str">
        <f>IF(Table1[[#This Row],[Daily_Screen_Time(hrs)]]&lt;=3,"Low",IF(Table1[[#This Row],[Daily_Screen_Time(hrs)]]&lt;=6,"Medium","High"))</f>
        <v>High</v>
      </c>
      <c r="M278" t="str">
        <f>IF(Table1[[#This Row],[Stress_Level(1-10)]]&lt;=4,"Low",IF(Table1[[#This Row],[Stress_Level(1-10)]]&lt;=7,"Medium","High"))</f>
        <v>High</v>
      </c>
      <c r="N278" t="str">
        <f>IF(Table1[[#This Row],[Happiness_Index(1-10)]]&lt;=4,"Low",IF(Table1[[#This Row],[Happiness_Index(1-10)]]&lt;=7,"Normal","High"))</f>
        <v>High</v>
      </c>
    </row>
    <row r="279" spans="1:14" x14ac:dyDescent="0.25">
      <c r="A279" t="s">
        <v>296</v>
      </c>
      <c r="B279">
        <v>16</v>
      </c>
      <c r="C279" t="s">
        <v>19</v>
      </c>
      <c r="D279">
        <v>5</v>
      </c>
      <c r="E279">
        <v>7</v>
      </c>
      <c r="F279">
        <v>6</v>
      </c>
      <c r="G279">
        <v>1</v>
      </c>
      <c r="H279">
        <v>5</v>
      </c>
      <c r="I279" t="s">
        <v>17</v>
      </c>
      <c r="J279">
        <v>10</v>
      </c>
      <c r="K279" t="str">
        <f t="shared" si="4"/>
        <v>15–25</v>
      </c>
      <c r="L279" t="str">
        <f>IF(Table1[[#This Row],[Daily_Screen_Time(hrs)]]&lt;=3,"Low",IF(Table1[[#This Row],[Daily_Screen_Time(hrs)]]&lt;=6,"Medium","High"))</f>
        <v>Medium</v>
      </c>
      <c r="M279" t="str">
        <f>IF(Table1[[#This Row],[Stress_Level(1-10)]]&lt;=4,"Low",IF(Table1[[#This Row],[Stress_Level(1-10)]]&lt;=7,"Medium","High"))</f>
        <v>Medium</v>
      </c>
      <c r="N279" t="str">
        <f>IF(Table1[[#This Row],[Happiness_Index(1-10)]]&lt;=4,"Low",IF(Table1[[#This Row],[Happiness_Index(1-10)]]&lt;=7,"Normal","High"))</f>
        <v>High</v>
      </c>
    </row>
    <row r="280" spans="1:14" x14ac:dyDescent="0.25">
      <c r="A280" t="s">
        <v>297</v>
      </c>
      <c r="B280">
        <v>23</v>
      </c>
      <c r="C280" t="s">
        <v>11</v>
      </c>
      <c r="D280">
        <v>2.5</v>
      </c>
      <c r="E280">
        <v>9</v>
      </c>
      <c r="F280">
        <v>5</v>
      </c>
      <c r="G280">
        <v>7</v>
      </c>
      <c r="H280">
        <v>5</v>
      </c>
      <c r="I280" t="s">
        <v>22</v>
      </c>
      <c r="J280">
        <v>10</v>
      </c>
      <c r="K280" t="str">
        <f t="shared" si="4"/>
        <v>15–25</v>
      </c>
      <c r="L280" t="str">
        <f>IF(Table1[[#This Row],[Daily_Screen_Time(hrs)]]&lt;=3,"Low",IF(Table1[[#This Row],[Daily_Screen_Time(hrs)]]&lt;=6,"Medium","High"))</f>
        <v>Low</v>
      </c>
      <c r="M280" t="str">
        <f>IF(Table1[[#This Row],[Stress_Level(1-10)]]&lt;=4,"Low",IF(Table1[[#This Row],[Stress_Level(1-10)]]&lt;=7,"Medium","High"))</f>
        <v>Medium</v>
      </c>
      <c r="N280" t="str">
        <f>IF(Table1[[#This Row],[Happiness_Index(1-10)]]&lt;=4,"Low",IF(Table1[[#This Row],[Happiness_Index(1-10)]]&lt;=7,"Normal","High"))</f>
        <v>High</v>
      </c>
    </row>
    <row r="281" spans="1:14" x14ac:dyDescent="0.25">
      <c r="A281" t="s">
        <v>298</v>
      </c>
      <c r="B281">
        <v>31</v>
      </c>
      <c r="C281" t="s">
        <v>11</v>
      </c>
      <c r="D281">
        <v>5.4</v>
      </c>
      <c r="E281">
        <v>5</v>
      </c>
      <c r="F281">
        <v>8</v>
      </c>
      <c r="G281">
        <v>5</v>
      </c>
      <c r="H281">
        <v>2</v>
      </c>
      <c r="I281" t="s">
        <v>26</v>
      </c>
      <c r="J281">
        <v>7</v>
      </c>
      <c r="K281" t="str">
        <f t="shared" si="4"/>
        <v>26–35</v>
      </c>
      <c r="L281" t="str">
        <f>IF(Table1[[#This Row],[Daily_Screen_Time(hrs)]]&lt;=3,"Low",IF(Table1[[#This Row],[Daily_Screen_Time(hrs)]]&lt;=6,"Medium","High"))</f>
        <v>Medium</v>
      </c>
      <c r="M281" t="str">
        <f>IF(Table1[[#This Row],[Stress_Level(1-10)]]&lt;=4,"Low",IF(Table1[[#This Row],[Stress_Level(1-10)]]&lt;=7,"Medium","High"))</f>
        <v>High</v>
      </c>
      <c r="N281" t="str">
        <f>IF(Table1[[#This Row],[Happiness_Index(1-10)]]&lt;=4,"Low",IF(Table1[[#This Row],[Happiness_Index(1-10)]]&lt;=7,"Normal","High"))</f>
        <v>Normal</v>
      </c>
    </row>
    <row r="282" spans="1:14" x14ac:dyDescent="0.25">
      <c r="A282" t="s">
        <v>299</v>
      </c>
      <c r="B282">
        <v>29</v>
      </c>
      <c r="C282" t="s">
        <v>19</v>
      </c>
      <c r="D282">
        <v>5.2</v>
      </c>
      <c r="E282">
        <v>7</v>
      </c>
      <c r="F282">
        <v>6</v>
      </c>
      <c r="G282">
        <v>1</v>
      </c>
      <c r="H282">
        <v>5</v>
      </c>
      <c r="I282" t="s">
        <v>17</v>
      </c>
      <c r="J282">
        <v>10</v>
      </c>
      <c r="K282" t="str">
        <f t="shared" si="4"/>
        <v>26–35</v>
      </c>
      <c r="L282" t="str">
        <f>IF(Table1[[#This Row],[Daily_Screen_Time(hrs)]]&lt;=3,"Low",IF(Table1[[#This Row],[Daily_Screen_Time(hrs)]]&lt;=6,"Medium","High"))</f>
        <v>Medium</v>
      </c>
      <c r="M282" t="str">
        <f>IF(Table1[[#This Row],[Stress_Level(1-10)]]&lt;=4,"Low",IF(Table1[[#This Row],[Stress_Level(1-10)]]&lt;=7,"Medium","High"))</f>
        <v>Medium</v>
      </c>
      <c r="N282" t="str">
        <f>IF(Table1[[#This Row],[Happiness_Index(1-10)]]&lt;=4,"Low",IF(Table1[[#This Row],[Happiness_Index(1-10)]]&lt;=7,"Normal","High"))</f>
        <v>High</v>
      </c>
    </row>
    <row r="283" spans="1:14" x14ac:dyDescent="0.25">
      <c r="A283" t="s">
        <v>300</v>
      </c>
      <c r="B283">
        <v>27</v>
      </c>
      <c r="C283" t="s">
        <v>19</v>
      </c>
      <c r="D283">
        <v>7.4</v>
      </c>
      <c r="E283">
        <v>4</v>
      </c>
      <c r="F283">
        <v>9</v>
      </c>
      <c r="G283">
        <v>5</v>
      </c>
      <c r="H283">
        <v>3</v>
      </c>
      <c r="I283" t="s">
        <v>12</v>
      </c>
      <c r="J283">
        <v>5</v>
      </c>
      <c r="K283" t="str">
        <f t="shared" si="4"/>
        <v>26–35</v>
      </c>
      <c r="L283" t="str">
        <f>IF(Table1[[#This Row],[Daily_Screen_Time(hrs)]]&lt;=3,"Low",IF(Table1[[#This Row],[Daily_Screen_Time(hrs)]]&lt;=6,"Medium","High"))</f>
        <v>High</v>
      </c>
      <c r="M283" t="str">
        <f>IF(Table1[[#This Row],[Stress_Level(1-10)]]&lt;=4,"Low",IF(Table1[[#This Row],[Stress_Level(1-10)]]&lt;=7,"Medium","High"))</f>
        <v>High</v>
      </c>
      <c r="N283" t="str">
        <f>IF(Table1[[#This Row],[Happiness_Index(1-10)]]&lt;=4,"Low",IF(Table1[[#This Row],[Happiness_Index(1-10)]]&lt;=7,"Normal","High"))</f>
        <v>Normal</v>
      </c>
    </row>
    <row r="284" spans="1:14" x14ac:dyDescent="0.25">
      <c r="A284" t="s">
        <v>301</v>
      </c>
      <c r="B284">
        <v>38</v>
      </c>
      <c r="C284" t="s">
        <v>19</v>
      </c>
      <c r="D284">
        <v>1.5</v>
      </c>
      <c r="E284">
        <v>9</v>
      </c>
      <c r="F284">
        <v>4</v>
      </c>
      <c r="G284">
        <v>5</v>
      </c>
      <c r="H284">
        <v>5</v>
      </c>
      <c r="I284" t="s">
        <v>15</v>
      </c>
      <c r="J284">
        <v>10</v>
      </c>
      <c r="K284" t="str">
        <f t="shared" si="4"/>
        <v>36–45</v>
      </c>
      <c r="L284" t="str">
        <f>IF(Table1[[#This Row],[Daily_Screen_Time(hrs)]]&lt;=3,"Low",IF(Table1[[#This Row],[Daily_Screen_Time(hrs)]]&lt;=6,"Medium","High"))</f>
        <v>Low</v>
      </c>
      <c r="M284" t="str">
        <f>IF(Table1[[#This Row],[Stress_Level(1-10)]]&lt;=4,"Low",IF(Table1[[#This Row],[Stress_Level(1-10)]]&lt;=7,"Medium","High"))</f>
        <v>Low</v>
      </c>
      <c r="N284" t="str">
        <f>IF(Table1[[#This Row],[Happiness_Index(1-10)]]&lt;=4,"Low",IF(Table1[[#This Row],[Happiness_Index(1-10)]]&lt;=7,"Normal","High"))</f>
        <v>High</v>
      </c>
    </row>
    <row r="285" spans="1:14" x14ac:dyDescent="0.25">
      <c r="A285" t="s">
        <v>302</v>
      </c>
      <c r="B285">
        <v>30</v>
      </c>
      <c r="C285" t="s">
        <v>19</v>
      </c>
      <c r="D285">
        <v>5.9</v>
      </c>
      <c r="E285">
        <v>6</v>
      </c>
      <c r="F285">
        <v>9</v>
      </c>
      <c r="G285">
        <v>3</v>
      </c>
      <c r="H285">
        <v>2</v>
      </c>
      <c r="I285" t="s">
        <v>17</v>
      </c>
      <c r="J285">
        <v>7</v>
      </c>
      <c r="K285" t="str">
        <f t="shared" si="4"/>
        <v>26–35</v>
      </c>
      <c r="L285" t="str">
        <f>IF(Table1[[#This Row],[Daily_Screen_Time(hrs)]]&lt;=3,"Low",IF(Table1[[#This Row],[Daily_Screen_Time(hrs)]]&lt;=6,"Medium","High"))</f>
        <v>Medium</v>
      </c>
      <c r="M285" t="str">
        <f>IF(Table1[[#This Row],[Stress_Level(1-10)]]&lt;=4,"Low",IF(Table1[[#This Row],[Stress_Level(1-10)]]&lt;=7,"Medium","High"))</f>
        <v>High</v>
      </c>
      <c r="N285" t="str">
        <f>IF(Table1[[#This Row],[Happiness_Index(1-10)]]&lt;=4,"Low",IF(Table1[[#This Row],[Happiness_Index(1-10)]]&lt;=7,"Normal","High"))</f>
        <v>Normal</v>
      </c>
    </row>
    <row r="286" spans="1:14" x14ac:dyDescent="0.25">
      <c r="A286" t="s">
        <v>303</v>
      </c>
      <c r="B286">
        <v>43</v>
      </c>
      <c r="C286" t="s">
        <v>19</v>
      </c>
      <c r="D286">
        <v>3.4</v>
      </c>
      <c r="E286">
        <v>7</v>
      </c>
      <c r="F286">
        <v>7</v>
      </c>
      <c r="G286">
        <v>4</v>
      </c>
      <c r="H286">
        <v>2</v>
      </c>
      <c r="I286" t="s">
        <v>22</v>
      </c>
      <c r="J286">
        <v>10</v>
      </c>
      <c r="K286" t="str">
        <f t="shared" si="4"/>
        <v>36–45</v>
      </c>
      <c r="L286" t="str">
        <f>IF(Table1[[#This Row],[Daily_Screen_Time(hrs)]]&lt;=3,"Low",IF(Table1[[#This Row],[Daily_Screen_Time(hrs)]]&lt;=6,"Medium","High"))</f>
        <v>Medium</v>
      </c>
      <c r="M286" t="str">
        <f>IF(Table1[[#This Row],[Stress_Level(1-10)]]&lt;=4,"Low",IF(Table1[[#This Row],[Stress_Level(1-10)]]&lt;=7,"Medium","High"))</f>
        <v>Medium</v>
      </c>
      <c r="N286" t="str">
        <f>IF(Table1[[#This Row],[Happiness_Index(1-10)]]&lt;=4,"Low",IF(Table1[[#This Row],[Happiness_Index(1-10)]]&lt;=7,"Normal","High"))</f>
        <v>High</v>
      </c>
    </row>
    <row r="287" spans="1:14" x14ac:dyDescent="0.25">
      <c r="A287" t="s">
        <v>304</v>
      </c>
      <c r="B287">
        <v>49</v>
      </c>
      <c r="C287" t="s">
        <v>11</v>
      </c>
      <c r="D287">
        <v>6.1</v>
      </c>
      <c r="E287">
        <v>5</v>
      </c>
      <c r="F287">
        <v>6</v>
      </c>
      <c r="G287">
        <v>4</v>
      </c>
      <c r="H287">
        <v>3</v>
      </c>
      <c r="I287" t="s">
        <v>15</v>
      </c>
      <c r="J287">
        <v>9</v>
      </c>
      <c r="K287" t="str">
        <f t="shared" si="4"/>
        <v>46+</v>
      </c>
      <c r="L287" t="str">
        <f>IF(Table1[[#This Row],[Daily_Screen_Time(hrs)]]&lt;=3,"Low",IF(Table1[[#This Row],[Daily_Screen_Time(hrs)]]&lt;=6,"Medium","High"))</f>
        <v>High</v>
      </c>
      <c r="M287" t="str">
        <f>IF(Table1[[#This Row],[Stress_Level(1-10)]]&lt;=4,"Low",IF(Table1[[#This Row],[Stress_Level(1-10)]]&lt;=7,"Medium","High"))</f>
        <v>Medium</v>
      </c>
      <c r="N287" t="str">
        <f>IF(Table1[[#This Row],[Happiness_Index(1-10)]]&lt;=4,"Low",IF(Table1[[#This Row],[Happiness_Index(1-10)]]&lt;=7,"Normal","High"))</f>
        <v>High</v>
      </c>
    </row>
    <row r="288" spans="1:14" x14ac:dyDescent="0.25">
      <c r="A288" t="s">
        <v>305</v>
      </c>
      <c r="B288">
        <v>17</v>
      </c>
      <c r="C288" t="s">
        <v>11</v>
      </c>
      <c r="D288">
        <v>6.2</v>
      </c>
      <c r="E288">
        <v>6</v>
      </c>
      <c r="F288">
        <v>8</v>
      </c>
      <c r="G288">
        <v>0</v>
      </c>
      <c r="H288">
        <v>3</v>
      </c>
      <c r="I288" t="s">
        <v>17</v>
      </c>
      <c r="J288">
        <v>7</v>
      </c>
      <c r="K288" t="str">
        <f t="shared" si="4"/>
        <v>15–25</v>
      </c>
      <c r="L288" t="str">
        <f>IF(Table1[[#This Row],[Daily_Screen_Time(hrs)]]&lt;=3,"Low",IF(Table1[[#This Row],[Daily_Screen_Time(hrs)]]&lt;=6,"Medium","High"))</f>
        <v>High</v>
      </c>
      <c r="M288" t="str">
        <f>IF(Table1[[#This Row],[Stress_Level(1-10)]]&lt;=4,"Low",IF(Table1[[#This Row],[Stress_Level(1-10)]]&lt;=7,"Medium","High"))</f>
        <v>High</v>
      </c>
      <c r="N288" t="str">
        <f>IF(Table1[[#This Row],[Happiness_Index(1-10)]]&lt;=4,"Low",IF(Table1[[#This Row],[Happiness_Index(1-10)]]&lt;=7,"Normal","High"))</f>
        <v>Normal</v>
      </c>
    </row>
    <row r="289" spans="1:14" x14ac:dyDescent="0.25">
      <c r="A289" t="s">
        <v>306</v>
      </c>
      <c r="B289">
        <v>47</v>
      </c>
      <c r="C289" t="s">
        <v>11</v>
      </c>
      <c r="D289">
        <v>5.3</v>
      </c>
      <c r="E289">
        <v>6</v>
      </c>
      <c r="F289">
        <v>6</v>
      </c>
      <c r="G289">
        <v>3</v>
      </c>
      <c r="H289">
        <v>4</v>
      </c>
      <c r="I289" t="s">
        <v>26</v>
      </c>
      <c r="J289">
        <v>9</v>
      </c>
      <c r="K289" t="str">
        <f t="shared" si="4"/>
        <v>46+</v>
      </c>
      <c r="L289" t="str">
        <f>IF(Table1[[#This Row],[Daily_Screen_Time(hrs)]]&lt;=3,"Low",IF(Table1[[#This Row],[Daily_Screen_Time(hrs)]]&lt;=6,"Medium","High"))</f>
        <v>Medium</v>
      </c>
      <c r="M289" t="str">
        <f>IF(Table1[[#This Row],[Stress_Level(1-10)]]&lt;=4,"Low",IF(Table1[[#This Row],[Stress_Level(1-10)]]&lt;=7,"Medium","High"))</f>
        <v>Medium</v>
      </c>
      <c r="N289" t="str">
        <f>IF(Table1[[#This Row],[Happiness_Index(1-10)]]&lt;=4,"Low",IF(Table1[[#This Row],[Happiness_Index(1-10)]]&lt;=7,"Normal","High"))</f>
        <v>High</v>
      </c>
    </row>
    <row r="290" spans="1:14" x14ac:dyDescent="0.25">
      <c r="A290" t="s">
        <v>307</v>
      </c>
      <c r="B290">
        <v>38</v>
      </c>
      <c r="C290" t="s">
        <v>19</v>
      </c>
      <c r="D290">
        <v>7</v>
      </c>
      <c r="E290">
        <v>4</v>
      </c>
      <c r="F290">
        <v>8</v>
      </c>
      <c r="G290">
        <v>3</v>
      </c>
      <c r="H290">
        <v>2</v>
      </c>
      <c r="I290" t="s">
        <v>26</v>
      </c>
      <c r="J290">
        <v>6</v>
      </c>
      <c r="K290" t="str">
        <f t="shared" si="4"/>
        <v>36–45</v>
      </c>
      <c r="L290" t="str">
        <f>IF(Table1[[#This Row],[Daily_Screen_Time(hrs)]]&lt;=3,"Low",IF(Table1[[#This Row],[Daily_Screen_Time(hrs)]]&lt;=6,"Medium","High"))</f>
        <v>High</v>
      </c>
      <c r="M290" t="str">
        <f>IF(Table1[[#This Row],[Stress_Level(1-10)]]&lt;=4,"Low",IF(Table1[[#This Row],[Stress_Level(1-10)]]&lt;=7,"Medium","High"))</f>
        <v>High</v>
      </c>
      <c r="N290" t="str">
        <f>IF(Table1[[#This Row],[Happiness_Index(1-10)]]&lt;=4,"Low",IF(Table1[[#This Row],[Happiness_Index(1-10)]]&lt;=7,"Normal","High"))</f>
        <v>Normal</v>
      </c>
    </row>
    <row r="291" spans="1:14" x14ac:dyDescent="0.25">
      <c r="A291" t="s">
        <v>308</v>
      </c>
      <c r="B291">
        <v>37</v>
      </c>
      <c r="C291" t="s">
        <v>19</v>
      </c>
      <c r="D291">
        <v>3.3</v>
      </c>
      <c r="E291">
        <v>7</v>
      </c>
      <c r="F291">
        <v>5</v>
      </c>
      <c r="G291">
        <v>6</v>
      </c>
      <c r="H291">
        <v>4</v>
      </c>
      <c r="I291" t="s">
        <v>12</v>
      </c>
      <c r="J291">
        <v>9</v>
      </c>
      <c r="K291" t="str">
        <f t="shared" si="4"/>
        <v>36–45</v>
      </c>
      <c r="L291" t="str">
        <f>IF(Table1[[#This Row],[Daily_Screen_Time(hrs)]]&lt;=3,"Low",IF(Table1[[#This Row],[Daily_Screen_Time(hrs)]]&lt;=6,"Medium","High"))</f>
        <v>Medium</v>
      </c>
      <c r="M291" t="str">
        <f>IF(Table1[[#This Row],[Stress_Level(1-10)]]&lt;=4,"Low",IF(Table1[[#This Row],[Stress_Level(1-10)]]&lt;=7,"Medium","High"))</f>
        <v>Medium</v>
      </c>
      <c r="N291" t="str">
        <f>IF(Table1[[#This Row],[Happiness_Index(1-10)]]&lt;=4,"Low",IF(Table1[[#This Row],[Happiness_Index(1-10)]]&lt;=7,"Normal","High"))</f>
        <v>High</v>
      </c>
    </row>
    <row r="292" spans="1:14" x14ac:dyDescent="0.25">
      <c r="A292" t="s">
        <v>309</v>
      </c>
      <c r="B292">
        <v>40</v>
      </c>
      <c r="C292" t="s">
        <v>11</v>
      </c>
      <c r="D292">
        <v>7.5</v>
      </c>
      <c r="E292">
        <v>5</v>
      </c>
      <c r="F292">
        <v>7</v>
      </c>
      <c r="G292">
        <v>4</v>
      </c>
      <c r="H292">
        <v>4</v>
      </c>
      <c r="I292" t="s">
        <v>20</v>
      </c>
      <c r="J292">
        <v>9</v>
      </c>
      <c r="K292" t="str">
        <f t="shared" si="4"/>
        <v>36–45</v>
      </c>
      <c r="L292" t="str">
        <f>IF(Table1[[#This Row],[Daily_Screen_Time(hrs)]]&lt;=3,"Low",IF(Table1[[#This Row],[Daily_Screen_Time(hrs)]]&lt;=6,"Medium","High"))</f>
        <v>High</v>
      </c>
      <c r="M292" t="str">
        <f>IF(Table1[[#This Row],[Stress_Level(1-10)]]&lt;=4,"Low",IF(Table1[[#This Row],[Stress_Level(1-10)]]&lt;=7,"Medium","High"))</f>
        <v>Medium</v>
      </c>
      <c r="N292" t="str">
        <f>IF(Table1[[#This Row],[Happiness_Index(1-10)]]&lt;=4,"Low",IF(Table1[[#This Row],[Happiness_Index(1-10)]]&lt;=7,"Normal","High"))</f>
        <v>High</v>
      </c>
    </row>
    <row r="293" spans="1:14" x14ac:dyDescent="0.25">
      <c r="A293" t="s">
        <v>310</v>
      </c>
      <c r="B293">
        <v>37</v>
      </c>
      <c r="C293" t="s">
        <v>11</v>
      </c>
      <c r="D293">
        <v>4.2</v>
      </c>
      <c r="E293">
        <v>9</v>
      </c>
      <c r="F293">
        <v>7</v>
      </c>
      <c r="G293">
        <v>2</v>
      </c>
      <c r="H293">
        <v>2</v>
      </c>
      <c r="I293" t="s">
        <v>15</v>
      </c>
      <c r="J293">
        <v>8</v>
      </c>
      <c r="K293" t="str">
        <f t="shared" si="4"/>
        <v>36–45</v>
      </c>
      <c r="L293" t="str">
        <f>IF(Table1[[#This Row],[Daily_Screen_Time(hrs)]]&lt;=3,"Low",IF(Table1[[#This Row],[Daily_Screen_Time(hrs)]]&lt;=6,"Medium","High"))</f>
        <v>Medium</v>
      </c>
      <c r="M293" t="str">
        <f>IF(Table1[[#This Row],[Stress_Level(1-10)]]&lt;=4,"Low",IF(Table1[[#This Row],[Stress_Level(1-10)]]&lt;=7,"Medium","High"))</f>
        <v>Medium</v>
      </c>
      <c r="N293" t="str">
        <f>IF(Table1[[#This Row],[Happiness_Index(1-10)]]&lt;=4,"Low",IF(Table1[[#This Row],[Happiness_Index(1-10)]]&lt;=7,"Normal","High"))</f>
        <v>High</v>
      </c>
    </row>
    <row r="294" spans="1:14" x14ac:dyDescent="0.25">
      <c r="A294" t="s">
        <v>311</v>
      </c>
      <c r="B294">
        <v>37</v>
      </c>
      <c r="C294" t="s">
        <v>14</v>
      </c>
      <c r="D294">
        <v>2.7</v>
      </c>
      <c r="E294">
        <v>8</v>
      </c>
      <c r="F294">
        <v>5</v>
      </c>
      <c r="G294">
        <v>3</v>
      </c>
      <c r="H294">
        <v>3</v>
      </c>
      <c r="I294" t="s">
        <v>22</v>
      </c>
      <c r="J294">
        <v>10</v>
      </c>
      <c r="K294" t="str">
        <f t="shared" si="4"/>
        <v>36–45</v>
      </c>
      <c r="L294" t="str">
        <f>IF(Table1[[#This Row],[Daily_Screen_Time(hrs)]]&lt;=3,"Low",IF(Table1[[#This Row],[Daily_Screen_Time(hrs)]]&lt;=6,"Medium","High"))</f>
        <v>Low</v>
      </c>
      <c r="M294" t="str">
        <f>IF(Table1[[#This Row],[Stress_Level(1-10)]]&lt;=4,"Low",IF(Table1[[#This Row],[Stress_Level(1-10)]]&lt;=7,"Medium","High"))</f>
        <v>Medium</v>
      </c>
      <c r="N294" t="str">
        <f>IF(Table1[[#This Row],[Happiness_Index(1-10)]]&lt;=4,"Low",IF(Table1[[#This Row],[Happiness_Index(1-10)]]&lt;=7,"Normal","High"))</f>
        <v>High</v>
      </c>
    </row>
    <row r="295" spans="1:14" x14ac:dyDescent="0.25">
      <c r="A295" t="s">
        <v>312</v>
      </c>
      <c r="B295">
        <v>21</v>
      </c>
      <c r="C295" t="s">
        <v>11</v>
      </c>
      <c r="D295">
        <v>5</v>
      </c>
      <c r="E295">
        <v>7</v>
      </c>
      <c r="F295">
        <v>6</v>
      </c>
      <c r="G295">
        <v>5</v>
      </c>
      <c r="H295">
        <v>2</v>
      </c>
      <c r="I295" t="s">
        <v>22</v>
      </c>
      <c r="J295">
        <v>10</v>
      </c>
      <c r="K295" t="str">
        <f t="shared" si="4"/>
        <v>15–25</v>
      </c>
      <c r="L295" t="str">
        <f>IF(Table1[[#This Row],[Daily_Screen_Time(hrs)]]&lt;=3,"Low",IF(Table1[[#This Row],[Daily_Screen_Time(hrs)]]&lt;=6,"Medium","High"))</f>
        <v>Medium</v>
      </c>
      <c r="M295" t="str">
        <f>IF(Table1[[#This Row],[Stress_Level(1-10)]]&lt;=4,"Low",IF(Table1[[#This Row],[Stress_Level(1-10)]]&lt;=7,"Medium","High"))</f>
        <v>Medium</v>
      </c>
      <c r="N295" t="str">
        <f>IF(Table1[[#This Row],[Happiness_Index(1-10)]]&lt;=4,"Low",IF(Table1[[#This Row],[Happiness_Index(1-10)]]&lt;=7,"Normal","High"))</f>
        <v>High</v>
      </c>
    </row>
    <row r="296" spans="1:14" x14ac:dyDescent="0.25">
      <c r="A296" t="s">
        <v>313</v>
      </c>
      <c r="B296">
        <v>30</v>
      </c>
      <c r="C296" t="s">
        <v>19</v>
      </c>
      <c r="D296">
        <v>1.7</v>
      </c>
      <c r="E296">
        <v>9</v>
      </c>
      <c r="F296">
        <v>4</v>
      </c>
      <c r="G296">
        <v>3</v>
      </c>
      <c r="H296">
        <v>6</v>
      </c>
      <c r="I296" t="s">
        <v>20</v>
      </c>
      <c r="J296">
        <v>10</v>
      </c>
      <c r="K296" t="str">
        <f t="shared" si="4"/>
        <v>26–35</v>
      </c>
      <c r="L296" t="str">
        <f>IF(Table1[[#This Row],[Daily_Screen_Time(hrs)]]&lt;=3,"Low",IF(Table1[[#This Row],[Daily_Screen_Time(hrs)]]&lt;=6,"Medium","High"))</f>
        <v>Low</v>
      </c>
      <c r="M296" t="str">
        <f>IF(Table1[[#This Row],[Stress_Level(1-10)]]&lt;=4,"Low",IF(Table1[[#This Row],[Stress_Level(1-10)]]&lt;=7,"Medium","High"))</f>
        <v>Low</v>
      </c>
      <c r="N296" t="str">
        <f>IF(Table1[[#This Row],[Happiness_Index(1-10)]]&lt;=4,"Low",IF(Table1[[#This Row],[Happiness_Index(1-10)]]&lt;=7,"Normal","High"))</f>
        <v>High</v>
      </c>
    </row>
    <row r="297" spans="1:14" x14ac:dyDescent="0.25">
      <c r="A297" t="s">
        <v>314</v>
      </c>
      <c r="B297">
        <v>48</v>
      </c>
      <c r="C297" t="s">
        <v>19</v>
      </c>
      <c r="D297">
        <v>6</v>
      </c>
      <c r="E297">
        <v>5</v>
      </c>
      <c r="F297">
        <v>7</v>
      </c>
      <c r="G297">
        <v>2</v>
      </c>
      <c r="H297">
        <v>0</v>
      </c>
      <c r="I297" t="s">
        <v>26</v>
      </c>
      <c r="J297">
        <v>7</v>
      </c>
      <c r="K297" t="str">
        <f t="shared" si="4"/>
        <v>46+</v>
      </c>
      <c r="L297" t="str">
        <f>IF(Table1[[#This Row],[Daily_Screen_Time(hrs)]]&lt;=3,"Low",IF(Table1[[#This Row],[Daily_Screen_Time(hrs)]]&lt;=6,"Medium","High"))</f>
        <v>Medium</v>
      </c>
      <c r="M297" t="str">
        <f>IF(Table1[[#This Row],[Stress_Level(1-10)]]&lt;=4,"Low",IF(Table1[[#This Row],[Stress_Level(1-10)]]&lt;=7,"Medium","High"))</f>
        <v>Medium</v>
      </c>
      <c r="N297" t="str">
        <f>IF(Table1[[#This Row],[Happiness_Index(1-10)]]&lt;=4,"Low",IF(Table1[[#This Row],[Happiness_Index(1-10)]]&lt;=7,"Normal","High"))</f>
        <v>Normal</v>
      </c>
    </row>
    <row r="298" spans="1:14" x14ac:dyDescent="0.25">
      <c r="A298" t="s">
        <v>315</v>
      </c>
      <c r="B298">
        <v>23</v>
      </c>
      <c r="C298" t="s">
        <v>19</v>
      </c>
      <c r="D298">
        <v>5</v>
      </c>
      <c r="E298">
        <v>5</v>
      </c>
      <c r="F298">
        <v>7</v>
      </c>
      <c r="G298">
        <v>2</v>
      </c>
      <c r="H298">
        <v>4</v>
      </c>
      <c r="I298" t="s">
        <v>26</v>
      </c>
      <c r="J298">
        <v>8</v>
      </c>
      <c r="K298" t="str">
        <f t="shared" si="4"/>
        <v>15–25</v>
      </c>
      <c r="L298" t="str">
        <f>IF(Table1[[#This Row],[Daily_Screen_Time(hrs)]]&lt;=3,"Low",IF(Table1[[#This Row],[Daily_Screen_Time(hrs)]]&lt;=6,"Medium","High"))</f>
        <v>Medium</v>
      </c>
      <c r="M298" t="str">
        <f>IF(Table1[[#This Row],[Stress_Level(1-10)]]&lt;=4,"Low",IF(Table1[[#This Row],[Stress_Level(1-10)]]&lt;=7,"Medium","High"))</f>
        <v>Medium</v>
      </c>
      <c r="N298" t="str">
        <f>IF(Table1[[#This Row],[Happiness_Index(1-10)]]&lt;=4,"Low",IF(Table1[[#This Row],[Happiness_Index(1-10)]]&lt;=7,"Normal","High"))</f>
        <v>High</v>
      </c>
    </row>
    <row r="299" spans="1:14" x14ac:dyDescent="0.25">
      <c r="A299" t="s">
        <v>316</v>
      </c>
      <c r="B299">
        <v>20</v>
      </c>
      <c r="C299" t="s">
        <v>11</v>
      </c>
      <c r="D299">
        <v>7.7</v>
      </c>
      <c r="E299">
        <v>4</v>
      </c>
      <c r="F299">
        <v>8</v>
      </c>
      <c r="G299">
        <v>5</v>
      </c>
      <c r="H299">
        <v>0</v>
      </c>
      <c r="I299" t="s">
        <v>17</v>
      </c>
      <c r="J299">
        <v>5</v>
      </c>
      <c r="K299" t="str">
        <f t="shared" si="4"/>
        <v>15–25</v>
      </c>
      <c r="L299" t="str">
        <f>IF(Table1[[#This Row],[Daily_Screen_Time(hrs)]]&lt;=3,"Low",IF(Table1[[#This Row],[Daily_Screen_Time(hrs)]]&lt;=6,"Medium","High"))</f>
        <v>High</v>
      </c>
      <c r="M299" t="str">
        <f>IF(Table1[[#This Row],[Stress_Level(1-10)]]&lt;=4,"Low",IF(Table1[[#This Row],[Stress_Level(1-10)]]&lt;=7,"Medium","High"))</f>
        <v>High</v>
      </c>
      <c r="N299" t="str">
        <f>IF(Table1[[#This Row],[Happiness_Index(1-10)]]&lt;=4,"Low",IF(Table1[[#This Row],[Happiness_Index(1-10)]]&lt;=7,"Normal","High"))</f>
        <v>Normal</v>
      </c>
    </row>
    <row r="300" spans="1:14" x14ac:dyDescent="0.25">
      <c r="A300" t="s">
        <v>317</v>
      </c>
      <c r="B300">
        <v>19</v>
      </c>
      <c r="C300" t="s">
        <v>19</v>
      </c>
      <c r="D300">
        <v>6.7</v>
      </c>
      <c r="E300">
        <v>6</v>
      </c>
      <c r="F300">
        <v>5</v>
      </c>
      <c r="G300">
        <v>4</v>
      </c>
      <c r="H300">
        <v>2</v>
      </c>
      <c r="I300" t="s">
        <v>12</v>
      </c>
      <c r="J300">
        <v>9</v>
      </c>
      <c r="K300" t="str">
        <f t="shared" si="4"/>
        <v>15–25</v>
      </c>
      <c r="L300" t="str">
        <f>IF(Table1[[#This Row],[Daily_Screen_Time(hrs)]]&lt;=3,"Low",IF(Table1[[#This Row],[Daily_Screen_Time(hrs)]]&lt;=6,"Medium","High"))</f>
        <v>High</v>
      </c>
      <c r="M300" t="str">
        <f>IF(Table1[[#This Row],[Stress_Level(1-10)]]&lt;=4,"Low",IF(Table1[[#This Row],[Stress_Level(1-10)]]&lt;=7,"Medium","High"))</f>
        <v>Medium</v>
      </c>
      <c r="N300" t="str">
        <f>IF(Table1[[#This Row],[Happiness_Index(1-10)]]&lt;=4,"Low",IF(Table1[[#This Row],[Happiness_Index(1-10)]]&lt;=7,"Normal","High"))</f>
        <v>High</v>
      </c>
    </row>
    <row r="301" spans="1:14" x14ac:dyDescent="0.25">
      <c r="A301" t="s">
        <v>318</v>
      </c>
      <c r="B301">
        <v>21</v>
      </c>
      <c r="C301" t="s">
        <v>19</v>
      </c>
      <c r="D301">
        <v>3</v>
      </c>
      <c r="E301">
        <v>8</v>
      </c>
      <c r="F301">
        <v>5</v>
      </c>
      <c r="G301">
        <v>3</v>
      </c>
      <c r="H301">
        <v>2</v>
      </c>
      <c r="I301" t="s">
        <v>15</v>
      </c>
      <c r="J301">
        <v>10</v>
      </c>
      <c r="K301" t="str">
        <f t="shared" si="4"/>
        <v>15–25</v>
      </c>
      <c r="L301" t="str">
        <f>IF(Table1[[#This Row],[Daily_Screen_Time(hrs)]]&lt;=3,"Low",IF(Table1[[#This Row],[Daily_Screen_Time(hrs)]]&lt;=6,"Medium","High"))</f>
        <v>Low</v>
      </c>
      <c r="M301" t="str">
        <f>IF(Table1[[#This Row],[Stress_Level(1-10)]]&lt;=4,"Low",IF(Table1[[#This Row],[Stress_Level(1-10)]]&lt;=7,"Medium","High"))</f>
        <v>Medium</v>
      </c>
      <c r="N301" t="str">
        <f>IF(Table1[[#This Row],[Happiness_Index(1-10)]]&lt;=4,"Low",IF(Table1[[#This Row],[Happiness_Index(1-10)]]&lt;=7,"Normal","High"))</f>
        <v>High</v>
      </c>
    </row>
    <row r="302" spans="1:14" x14ac:dyDescent="0.25">
      <c r="A302" t="s">
        <v>319</v>
      </c>
      <c r="B302">
        <v>47</v>
      </c>
      <c r="C302" t="s">
        <v>19</v>
      </c>
      <c r="D302">
        <v>4</v>
      </c>
      <c r="E302">
        <v>8</v>
      </c>
      <c r="F302">
        <v>4</v>
      </c>
      <c r="G302">
        <v>3</v>
      </c>
      <c r="H302">
        <v>5</v>
      </c>
      <c r="I302" t="s">
        <v>12</v>
      </c>
      <c r="J302">
        <v>10</v>
      </c>
      <c r="K302" t="str">
        <f t="shared" si="4"/>
        <v>46+</v>
      </c>
      <c r="L302" t="str">
        <f>IF(Table1[[#This Row],[Daily_Screen_Time(hrs)]]&lt;=3,"Low",IF(Table1[[#This Row],[Daily_Screen_Time(hrs)]]&lt;=6,"Medium","High"))</f>
        <v>Medium</v>
      </c>
      <c r="M302" t="str">
        <f>IF(Table1[[#This Row],[Stress_Level(1-10)]]&lt;=4,"Low",IF(Table1[[#This Row],[Stress_Level(1-10)]]&lt;=7,"Medium","High"))</f>
        <v>Low</v>
      </c>
      <c r="N302" t="str">
        <f>IF(Table1[[#This Row],[Happiness_Index(1-10)]]&lt;=4,"Low",IF(Table1[[#This Row],[Happiness_Index(1-10)]]&lt;=7,"Normal","High"))</f>
        <v>High</v>
      </c>
    </row>
    <row r="303" spans="1:14" x14ac:dyDescent="0.25">
      <c r="A303" t="s">
        <v>320</v>
      </c>
      <c r="B303">
        <v>45</v>
      </c>
      <c r="C303" t="s">
        <v>19</v>
      </c>
      <c r="D303">
        <v>6.4</v>
      </c>
      <c r="E303">
        <v>6</v>
      </c>
      <c r="F303">
        <v>7</v>
      </c>
      <c r="G303">
        <v>2</v>
      </c>
      <c r="H303">
        <v>1</v>
      </c>
      <c r="I303" t="s">
        <v>12</v>
      </c>
      <c r="J303">
        <v>7</v>
      </c>
      <c r="K303" t="str">
        <f t="shared" si="4"/>
        <v>36–45</v>
      </c>
      <c r="L303" t="str">
        <f>IF(Table1[[#This Row],[Daily_Screen_Time(hrs)]]&lt;=3,"Low",IF(Table1[[#This Row],[Daily_Screen_Time(hrs)]]&lt;=6,"Medium","High"))</f>
        <v>High</v>
      </c>
      <c r="M303" t="str">
        <f>IF(Table1[[#This Row],[Stress_Level(1-10)]]&lt;=4,"Low",IF(Table1[[#This Row],[Stress_Level(1-10)]]&lt;=7,"Medium","High"))</f>
        <v>Medium</v>
      </c>
      <c r="N303" t="str">
        <f>IF(Table1[[#This Row],[Happiness_Index(1-10)]]&lt;=4,"Low",IF(Table1[[#This Row],[Happiness_Index(1-10)]]&lt;=7,"Normal","High"))</f>
        <v>Normal</v>
      </c>
    </row>
    <row r="304" spans="1:14" x14ac:dyDescent="0.25">
      <c r="A304" t="s">
        <v>321</v>
      </c>
      <c r="B304">
        <v>31</v>
      </c>
      <c r="C304" t="s">
        <v>19</v>
      </c>
      <c r="D304">
        <v>7</v>
      </c>
      <c r="E304">
        <v>5</v>
      </c>
      <c r="F304">
        <v>6</v>
      </c>
      <c r="G304">
        <v>3</v>
      </c>
      <c r="H304">
        <v>4</v>
      </c>
      <c r="I304" t="s">
        <v>17</v>
      </c>
      <c r="J304">
        <v>8</v>
      </c>
      <c r="K304" t="str">
        <f t="shared" si="4"/>
        <v>26–35</v>
      </c>
      <c r="L304" t="str">
        <f>IF(Table1[[#This Row],[Daily_Screen_Time(hrs)]]&lt;=3,"Low",IF(Table1[[#This Row],[Daily_Screen_Time(hrs)]]&lt;=6,"Medium","High"))</f>
        <v>High</v>
      </c>
      <c r="M304" t="str">
        <f>IF(Table1[[#This Row],[Stress_Level(1-10)]]&lt;=4,"Low",IF(Table1[[#This Row],[Stress_Level(1-10)]]&lt;=7,"Medium","High"))</f>
        <v>Medium</v>
      </c>
      <c r="N304" t="str">
        <f>IF(Table1[[#This Row],[Happiness_Index(1-10)]]&lt;=4,"Low",IF(Table1[[#This Row],[Happiness_Index(1-10)]]&lt;=7,"Normal","High"))</f>
        <v>High</v>
      </c>
    </row>
    <row r="305" spans="1:14" x14ac:dyDescent="0.25">
      <c r="A305" t="s">
        <v>322</v>
      </c>
      <c r="B305">
        <v>28</v>
      </c>
      <c r="C305" t="s">
        <v>19</v>
      </c>
      <c r="D305">
        <v>7.7</v>
      </c>
      <c r="E305">
        <v>4</v>
      </c>
      <c r="F305">
        <v>7</v>
      </c>
      <c r="G305">
        <v>2</v>
      </c>
      <c r="H305">
        <v>1</v>
      </c>
      <c r="I305" t="s">
        <v>12</v>
      </c>
      <c r="J305">
        <v>7</v>
      </c>
      <c r="K305" t="str">
        <f t="shared" si="4"/>
        <v>26–35</v>
      </c>
      <c r="L305" t="str">
        <f>IF(Table1[[#This Row],[Daily_Screen_Time(hrs)]]&lt;=3,"Low",IF(Table1[[#This Row],[Daily_Screen_Time(hrs)]]&lt;=6,"Medium","High"))</f>
        <v>High</v>
      </c>
      <c r="M305" t="str">
        <f>IF(Table1[[#This Row],[Stress_Level(1-10)]]&lt;=4,"Low",IF(Table1[[#This Row],[Stress_Level(1-10)]]&lt;=7,"Medium","High"))</f>
        <v>Medium</v>
      </c>
      <c r="N305" t="str">
        <f>IF(Table1[[#This Row],[Happiness_Index(1-10)]]&lt;=4,"Low",IF(Table1[[#This Row],[Happiness_Index(1-10)]]&lt;=7,"Normal","High"))</f>
        <v>Normal</v>
      </c>
    </row>
    <row r="306" spans="1:14" x14ac:dyDescent="0.25">
      <c r="A306" t="s">
        <v>323</v>
      </c>
      <c r="B306">
        <v>45</v>
      </c>
      <c r="C306" t="s">
        <v>11</v>
      </c>
      <c r="D306">
        <v>7.7</v>
      </c>
      <c r="E306">
        <v>6</v>
      </c>
      <c r="F306">
        <v>9</v>
      </c>
      <c r="G306">
        <v>2</v>
      </c>
      <c r="H306">
        <v>5</v>
      </c>
      <c r="I306" t="s">
        <v>20</v>
      </c>
      <c r="J306">
        <v>6</v>
      </c>
      <c r="K306" t="str">
        <f t="shared" si="4"/>
        <v>36–45</v>
      </c>
      <c r="L306" t="str">
        <f>IF(Table1[[#This Row],[Daily_Screen_Time(hrs)]]&lt;=3,"Low",IF(Table1[[#This Row],[Daily_Screen_Time(hrs)]]&lt;=6,"Medium","High"))</f>
        <v>High</v>
      </c>
      <c r="M306" t="str">
        <f>IF(Table1[[#This Row],[Stress_Level(1-10)]]&lt;=4,"Low",IF(Table1[[#This Row],[Stress_Level(1-10)]]&lt;=7,"Medium","High"))</f>
        <v>High</v>
      </c>
      <c r="N306" t="str">
        <f>IF(Table1[[#This Row],[Happiness_Index(1-10)]]&lt;=4,"Low",IF(Table1[[#This Row],[Happiness_Index(1-10)]]&lt;=7,"Normal","High"))</f>
        <v>Normal</v>
      </c>
    </row>
    <row r="307" spans="1:14" x14ac:dyDescent="0.25">
      <c r="A307" t="s">
        <v>324</v>
      </c>
      <c r="B307">
        <v>34</v>
      </c>
      <c r="C307" t="s">
        <v>19</v>
      </c>
      <c r="D307">
        <v>5.3</v>
      </c>
      <c r="E307">
        <v>6</v>
      </c>
      <c r="F307">
        <v>6</v>
      </c>
      <c r="G307">
        <v>6</v>
      </c>
      <c r="H307">
        <v>2</v>
      </c>
      <c r="I307" t="s">
        <v>17</v>
      </c>
      <c r="J307">
        <v>10</v>
      </c>
      <c r="K307" t="str">
        <f t="shared" si="4"/>
        <v>26–35</v>
      </c>
      <c r="L307" t="str">
        <f>IF(Table1[[#This Row],[Daily_Screen_Time(hrs)]]&lt;=3,"Low",IF(Table1[[#This Row],[Daily_Screen_Time(hrs)]]&lt;=6,"Medium","High"))</f>
        <v>Medium</v>
      </c>
      <c r="M307" t="str">
        <f>IF(Table1[[#This Row],[Stress_Level(1-10)]]&lt;=4,"Low",IF(Table1[[#This Row],[Stress_Level(1-10)]]&lt;=7,"Medium","High"))</f>
        <v>Medium</v>
      </c>
      <c r="N307" t="str">
        <f>IF(Table1[[#This Row],[Happiness_Index(1-10)]]&lt;=4,"Low",IF(Table1[[#This Row],[Happiness_Index(1-10)]]&lt;=7,"Normal","High"))</f>
        <v>High</v>
      </c>
    </row>
    <row r="308" spans="1:14" x14ac:dyDescent="0.25">
      <c r="A308" t="s">
        <v>325</v>
      </c>
      <c r="B308">
        <v>32</v>
      </c>
      <c r="C308" t="s">
        <v>19</v>
      </c>
      <c r="D308">
        <v>6.2</v>
      </c>
      <c r="E308">
        <v>5</v>
      </c>
      <c r="F308">
        <v>7</v>
      </c>
      <c r="G308">
        <v>1</v>
      </c>
      <c r="H308">
        <v>3</v>
      </c>
      <c r="I308" t="s">
        <v>20</v>
      </c>
      <c r="J308">
        <v>7</v>
      </c>
      <c r="K308" t="str">
        <f t="shared" si="4"/>
        <v>26–35</v>
      </c>
      <c r="L308" t="str">
        <f>IF(Table1[[#This Row],[Daily_Screen_Time(hrs)]]&lt;=3,"Low",IF(Table1[[#This Row],[Daily_Screen_Time(hrs)]]&lt;=6,"Medium","High"))</f>
        <v>High</v>
      </c>
      <c r="M308" t="str">
        <f>IF(Table1[[#This Row],[Stress_Level(1-10)]]&lt;=4,"Low",IF(Table1[[#This Row],[Stress_Level(1-10)]]&lt;=7,"Medium","High"))</f>
        <v>Medium</v>
      </c>
      <c r="N308" t="str">
        <f>IF(Table1[[#This Row],[Happiness_Index(1-10)]]&lt;=4,"Low",IF(Table1[[#This Row],[Happiness_Index(1-10)]]&lt;=7,"Normal","High"))</f>
        <v>Normal</v>
      </c>
    </row>
    <row r="309" spans="1:14" x14ac:dyDescent="0.25">
      <c r="A309" t="s">
        <v>326</v>
      </c>
      <c r="B309">
        <v>34</v>
      </c>
      <c r="C309" t="s">
        <v>11</v>
      </c>
      <c r="D309">
        <v>7.8</v>
      </c>
      <c r="E309">
        <v>5</v>
      </c>
      <c r="F309">
        <v>9</v>
      </c>
      <c r="G309">
        <v>2</v>
      </c>
      <c r="H309">
        <v>2</v>
      </c>
      <c r="I309" t="s">
        <v>17</v>
      </c>
      <c r="J309">
        <v>6</v>
      </c>
      <c r="K309" t="str">
        <f t="shared" si="4"/>
        <v>26–35</v>
      </c>
      <c r="L309" t="str">
        <f>IF(Table1[[#This Row],[Daily_Screen_Time(hrs)]]&lt;=3,"Low",IF(Table1[[#This Row],[Daily_Screen_Time(hrs)]]&lt;=6,"Medium","High"))</f>
        <v>High</v>
      </c>
      <c r="M309" t="str">
        <f>IF(Table1[[#This Row],[Stress_Level(1-10)]]&lt;=4,"Low",IF(Table1[[#This Row],[Stress_Level(1-10)]]&lt;=7,"Medium","High"))</f>
        <v>High</v>
      </c>
      <c r="N309" t="str">
        <f>IF(Table1[[#This Row],[Happiness_Index(1-10)]]&lt;=4,"Low",IF(Table1[[#This Row],[Happiness_Index(1-10)]]&lt;=7,"Normal","High"))</f>
        <v>Normal</v>
      </c>
    </row>
    <row r="310" spans="1:14" x14ac:dyDescent="0.25">
      <c r="A310" t="s">
        <v>327</v>
      </c>
      <c r="B310">
        <v>43</v>
      </c>
      <c r="C310" t="s">
        <v>19</v>
      </c>
      <c r="D310">
        <v>5</v>
      </c>
      <c r="E310">
        <v>5</v>
      </c>
      <c r="F310">
        <v>6</v>
      </c>
      <c r="G310">
        <v>0</v>
      </c>
      <c r="H310">
        <v>4</v>
      </c>
      <c r="I310" t="s">
        <v>12</v>
      </c>
      <c r="J310">
        <v>8</v>
      </c>
      <c r="K310" t="str">
        <f t="shared" si="4"/>
        <v>36–45</v>
      </c>
      <c r="L310" t="str">
        <f>IF(Table1[[#This Row],[Daily_Screen_Time(hrs)]]&lt;=3,"Low",IF(Table1[[#This Row],[Daily_Screen_Time(hrs)]]&lt;=6,"Medium","High"))</f>
        <v>Medium</v>
      </c>
      <c r="M310" t="str">
        <f>IF(Table1[[#This Row],[Stress_Level(1-10)]]&lt;=4,"Low",IF(Table1[[#This Row],[Stress_Level(1-10)]]&lt;=7,"Medium","High"))</f>
        <v>Medium</v>
      </c>
      <c r="N310" t="str">
        <f>IF(Table1[[#This Row],[Happiness_Index(1-10)]]&lt;=4,"Low",IF(Table1[[#This Row],[Happiness_Index(1-10)]]&lt;=7,"Normal","High"))</f>
        <v>High</v>
      </c>
    </row>
    <row r="311" spans="1:14" x14ac:dyDescent="0.25">
      <c r="A311" t="s">
        <v>328</v>
      </c>
      <c r="B311">
        <v>41</v>
      </c>
      <c r="C311" t="s">
        <v>19</v>
      </c>
      <c r="D311">
        <v>6.2</v>
      </c>
      <c r="E311">
        <v>8</v>
      </c>
      <c r="F311">
        <v>9</v>
      </c>
      <c r="G311">
        <v>0</v>
      </c>
      <c r="H311">
        <v>4</v>
      </c>
      <c r="I311" t="s">
        <v>20</v>
      </c>
      <c r="J311">
        <v>7</v>
      </c>
      <c r="K311" t="str">
        <f t="shared" si="4"/>
        <v>36–45</v>
      </c>
      <c r="L311" t="str">
        <f>IF(Table1[[#This Row],[Daily_Screen_Time(hrs)]]&lt;=3,"Low",IF(Table1[[#This Row],[Daily_Screen_Time(hrs)]]&lt;=6,"Medium","High"))</f>
        <v>High</v>
      </c>
      <c r="M311" t="str">
        <f>IF(Table1[[#This Row],[Stress_Level(1-10)]]&lt;=4,"Low",IF(Table1[[#This Row],[Stress_Level(1-10)]]&lt;=7,"Medium","High"))</f>
        <v>High</v>
      </c>
      <c r="N311" t="str">
        <f>IF(Table1[[#This Row],[Happiness_Index(1-10)]]&lt;=4,"Low",IF(Table1[[#This Row],[Happiness_Index(1-10)]]&lt;=7,"Normal","High"))</f>
        <v>Normal</v>
      </c>
    </row>
    <row r="312" spans="1:14" x14ac:dyDescent="0.25">
      <c r="A312" t="s">
        <v>329</v>
      </c>
      <c r="B312">
        <v>41</v>
      </c>
      <c r="C312" t="s">
        <v>19</v>
      </c>
      <c r="D312">
        <v>4.9000000000000004</v>
      </c>
      <c r="E312">
        <v>7</v>
      </c>
      <c r="F312">
        <v>6</v>
      </c>
      <c r="G312">
        <v>3</v>
      </c>
      <c r="H312">
        <v>3</v>
      </c>
      <c r="I312" t="s">
        <v>20</v>
      </c>
      <c r="J312">
        <v>9</v>
      </c>
      <c r="K312" t="str">
        <f t="shared" si="4"/>
        <v>36–45</v>
      </c>
      <c r="L312" t="str">
        <f>IF(Table1[[#This Row],[Daily_Screen_Time(hrs)]]&lt;=3,"Low",IF(Table1[[#This Row],[Daily_Screen_Time(hrs)]]&lt;=6,"Medium","High"))</f>
        <v>Medium</v>
      </c>
      <c r="M312" t="str">
        <f>IF(Table1[[#This Row],[Stress_Level(1-10)]]&lt;=4,"Low",IF(Table1[[#This Row],[Stress_Level(1-10)]]&lt;=7,"Medium","High"))</f>
        <v>Medium</v>
      </c>
      <c r="N312" t="str">
        <f>IF(Table1[[#This Row],[Happiness_Index(1-10)]]&lt;=4,"Low",IF(Table1[[#This Row],[Happiness_Index(1-10)]]&lt;=7,"Normal","High"))</f>
        <v>High</v>
      </c>
    </row>
    <row r="313" spans="1:14" x14ac:dyDescent="0.25">
      <c r="A313" t="s">
        <v>330</v>
      </c>
      <c r="B313">
        <v>38</v>
      </c>
      <c r="C313" t="s">
        <v>11</v>
      </c>
      <c r="D313">
        <v>4.5</v>
      </c>
      <c r="E313">
        <v>7</v>
      </c>
      <c r="F313">
        <v>6</v>
      </c>
      <c r="G313">
        <v>2</v>
      </c>
      <c r="H313">
        <v>1</v>
      </c>
      <c r="I313" t="s">
        <v>20</v>
      </c>
      <c r="J313">
        <v>9</v>
      </c>
      <c r="K313" t="str">
        <f t="shared" si="4"/>
        <v>36–45</v>
      </c>
      <c r="L313" t="str">
        <f>IF(Table1[[#This Row],[Daily_Screen_Time(hrs)]]&lt;=3,"Low",IF(Table1[[#This Row],[Daily_Screen_Time(hrs)]]&lt;=6,"Medium","High"))</f>
        <v>Medium</v>
      </c>
      <c r="M313" t="str">
        <f>IF(Table1[[#This Row],[Stress_Level(1-10)]]&lt;=4,"Low",IF(Table1[[#This Row],[Stress_Level(1-10)]]&lt;=7,"Medium","High"))</f>
        <v>Medium</v>
      </c>
      <c r="N313" t="str">
        <f>IF(Table1[[#This Row],[Happiness_Index(1-10)]]&lt;=4,"Low",IF(Table1[[#This Row],[Happiness_Index(1-10)]]&lt;=7,"Normal","High"))</f>
        <v>High</v>
      </c>
    </row>
    <row r="314" spans="1:14" x14ac:dyDescent="0.25">
      <c r="A314" t="s">
        <v>331</v>
      </c>
      <c r="B314">
        <v>24</v>
      </c>
      <c r="C314" t="s">
        <v>11</v>
      </c>
      <c r="D314">
        <v>5.6</v>
      </c>
      <c r="E314">
        <v>5</v>
      </c>
      <c r="F314">
        <v>8</v>
      </c>
      <c r="G314">
        <v>7</v>
      </c>
      <c r="H314">
        <v>1</v>
      </c>
      <c r="I314" t="s">
        <v>17</v>
      </c>
      <c r="J314">
        <v>7</v>
      </c>
      <c r="K314" t="str">
        <f t="shared" si="4"/>
        <v>15–25</v>
      </c>
      <c r="L314" t="str">
        <f>IF(Table1[[#This Row],[Daily_Screen_Time(hrs)]]&lt;=3,"Low",IF(Table1[[#This Row],[Daily_Screen_Time(hrs)]]&lt;=6,"Medium","High"))</f>
        <v>Medium</v>
      </c>
      <c r="M314" t="str">
        <f>IF(Table1[[#This Row],[Stress_Level(1-10)]]&lt;=4,"Low",IF(Table1[[#This Row],[Stress_Level(1-10)]]&lt;=7,"Medium","High"))</f>
        <v>High</v>
      </c>
      <c r="N314" t="str">
        <f>IF(Table1[[#This Row],[Happiness_Index(1-10)]]&lt;=4,"Low",IF(Table1[[#This Row],[Happiness_Index(1-10)]]&lt;=7,"Normal","High"))</f>
        <v>Normal</v>
      </c>
    </row>
    <row r="315" spans="1:14" x14ac:dyDescent="0.25">
      <c r="A315" t="s">
        <v>332</v>
      </c>
      <c r="B315">
        <v>27</v>
      </c>
      <c r="C315" t="s">
        <v>14</v>
      </c>
      <c r="D315">
        <v>4.3</v>
      </c>
      <c r="E315">
        <v>7</v>
      </c>
      <c r="F315">
        <v>7</v>
      </c>
      <c r="G315">
        <v>2</v>
      </c>
      <c r="H315">
        <v>1</v>
      </c>
      <c r="I315" t="s">
        <v>22</v>
      </c>
      <c r="J315">
        <v>8</v>
      </c>
      <c r="K315" t="str">
        <f t="shared" si="4"/>
        <v>26–35</v>
      </c>
      <c r="L315" t="str">
        <f>IF(Table1[[#This Row],[Daily_Screen_Time(hrs)]]&lt;=3,"Low",IF(Table1[[#This Row],[Daily_Screen_Time(hrs)]]&lt;=6,"Medium","High"))</f>
        <v>Medium</v>
      </c>
      <c r="M315" t="str">
        <f>IF(Table1[[#This Row],[Stress_Level(1-10)]]&lt;=4,"Low",IF(Table1[[#This Row],[Stress_Level(1-10)]]&lt;=7,"Medium","High"))</f>
        <v>Medium</v>
      </c>
      <c r="N315" t="str">
        <f>IF(Table1[[#This Row],[Happiness_Index(1-10)]]&lt;=4,"Low",IF(Table1[[#This Row],[Happiness_Index(1-10)]]&lt;=7,"Normal","High"))</f>
        <v>High</v>
      </c>
    </row>
    <row r="316" spans="1:14" x14ac:dyDescent="0.25">
      <c r="A316" t="s">
        <v>333</v>
      </c>
      <c r="B316">
        <v>16</v>
      </c>
      <c r="C316" t="s">
        <v>19</v>
      </c>
      <c r="D316">
        <v>5.3</v>
      </c>
      <c r="E316">
        <v>6</v>
      </c>
      <c r="F316">
        <v>6</v>
      </c>
      <c r="G316">
        <v>6</v>
      </c>
      <c r="H316">
        <v>0</v>
      </c>
      <c r="I316" t="s">
        <v>12</v>
      </c>
      <c r="J316">
        <v>9</v>
      </c>
      <c r="K316" t="str">
        <f t="shared" si="4"/>
        <v>15–25</v>
      </c>
      <c r="L316" t="str">
        <f>IF(Table1[[#This Row],[Daily_Screen_Time(hrs)]]&lt;=3,"Low",IF(Table1[[#This Row],[Daily_Screen_Time(hrs)]]&lt;=6,"Medium","High"))</f>
        <v>Medium</v>
      </c>
      <c r="M316" t="str">
        <f>IF(Table1[[#This Row],[Stress_Level(1-10)]]&lt;=4,"Low",IF(Table1[[#This Row],[Stress_Level(1-10)]]&lt;=7,"Medium","High"))</f>
        <v>Medium</v>
      </c>
      <c r="N316" t="str">
        <f>IF(Table1[[#This Row],[Happiness_Index(1-10)]]&lt;=4,"Low",IF(Table1[[#This Row],[Happiness_Index(1-10)]]&lt;=7,"Normal","High"))</f>
        <v>High</v>
      </c>
    </row>
    <row r="317" spans="1:14" x14ac:dyDescent="0.25">
      <c r="A317" t="s">
        <v>334</v>
      </c>
      <c r="B317">
        <v>16</v>
      </c>
      <c r="C317" t="s">
        <v>11</v>
      </c>
      <c r="D317">
        <v>3.6</v>
      </c>
      <c r="E317">
        <v>7</v>
      </c>
      <c r="F317">
        <v>5</v>
      </c>
      <c r="G317">
        <v>5</v>
      </c>
      <c r="H317">
        <v>4</v>
      </c>
      <c r="I317" t="s">
        <v>20</v>
      </c>
      <c r="J317">
        <v>10</v>
      </c>
      <c r="K317" t="str">
        <f t="shared" si="4"/>
        <v>15–25</v>
      </c>
      <c r="L317" t="str">
        <f>IF(Table1[[#This Row],[Daily_Screen_Time(hrs)]]&lt;=3,"Low",IF(Table1[[#This Row],[Daily_Screen_Time(hrs)]]&lt;=6,"Medium","High"))</f>
        <v>Medium</v>
      </c>
      <c r="M317" t="str">
        <f>IF(Table1[[#This Row],[Stress_Level(1-10)]]&lt;=4,"Low",IF(Table1[[#This Row],[Stress_Level(1-10)]]&lt;=7,"Medium","High"))</f>
        <v>Medium</v>
      </c>
      <c r="N317" t="str">
        <f>IF(Table1[[#This Row],[Happiness_Index(1-10)]]&lt;=4,"Low",IF(Table1[[#This Row],[Happiness_Index(1-10)]]&lt;=7,"Normal","High"))</f>
        <v>High</v>
      </c>
    </row>
    <row r="318" spans="1:14" x14ac:dyDescent="0.25">
      <c r="A318" t="s">
        <v>335</v>
      </c>
      <c r="B318">
        <v>49</v>
      </c>
      <c r="C318" t="s">
        <v>19</v>
      </c>
      <c r="D318">
        <v>5.2</v>
      </c>
      <c r="E318">
        <v>7</v>
      </c>
      <c r="F318">
        <v>8</v>
      </c>
      <c r="G318">
        <v>3</v>
      </c>
      <c r="H318">
        <v>2</v>
      </c>
      <c r="I318" t="s">
        <v>15</v>
      </c>
      <c r="J318">
        <v>8</v>
      </c>
      <c r="K318" t="str">
        <f t="shared" si="4"/>
        <v>46+</v>
      </c>
      <c r="L318" t="str">
        <f>IF(Table1[[#This Row],[Daily_Screen_Time(hrs)]]&lt;=3,"Low",IF(Table1[[#This Row],[Daily_Screen_Time(hrs)]]&lt;=6,"Medium","High"))</f>
        <v>Medium</v>
      </c>
      <c r="M318" t="str">
        <f>IF(Table1[[#This Row],[Stress_Level(1-10)]]&lt;=4,"Low",IF(Table1[[#This Row],[Stress_Level(1-10)]]&lt;=7,"Medium","High"))</f>
        <v>High</v>
      </c>
      <c r="N318" t="str">
        <f>IF(Table1[[#This Row],[Happiness_Index(1-10)]]&lt;=4,"Low",IF(Table1[[#This Row],[Happiness_Index(1-10)]]&lt;=7,"Normal","High"))</f>
        <v>High</v>
      </c>
    </row>
    <row r="319" spans="1:14" x14ac:dyDescent="0.25">
      <c r="A319" t="s">
        <v>336</v>
      </c>
      <c r="B319">
        <v>47</v>
      </c>
      <c r="C319" t="s">
        <v>19</v>
      </c>
      <c r="D319">
        <v>6.3</v>
      </c>
      <c r="E319">
        <v>5</v>
      </c>
      <c r="F319">
        <v>8</v>
      </c>
      <c r="G319">
        <v>7</v>
      </c>
      <c r="H319">
        <v>2</v>
      </c>
      <c r="I319" t="s">
        <v>22</v>
      </c>
      <c r="J319">
        <v>8</v>
      </c>
      <c r="K319" t="str">
        <f t="shared" si="4"/>
        <v>46+</v>
      </c>
      <c r="L319" t="str">
        <f>IF(Table1[[#This Row],[Daily_Screen_Time(hrs)]]&lt;=3,"Low",IF(Table1[[#This Row],[Daily_Screen_Time(hrs)]]&lt;=6,"Medium","High"))</f>
        <v>High</v>
      </c>
      <c r="M319" t="str">
        <f>IF(Table1[[#This Row],[Stress_Level(1-10)]]&lt;=4,"Low",IF(Table1[[#This Row],[Stress_Level(1-10)]]&lt;=7,"Medium","High"))</f>
        <v>High</v>
      </c>
      <c r="N319" t="str">
        <f>IF(Table1[[#This Row],[Happiness_Index(1-10)]]&lt;=4,"Low",IF(Table1[[#This Row],[Happiness_Index(1-10)]]&lt;=7,"Normal","High"))</f>
        <v>High</v>
      </c>
    </row>
    <row r="320" spans="1:14" x14ac:dyDescent="0.25">
      <c r="A320" t="s">
        <v>337</v>
      </c>
      <c r="B320">
        <v>40</v>
      </c>
      <c r="C320" t="s">
        <v>19</v>
      </c>
      <c r="D320">
        <v>4.4000000000000004</v>
      </c>
      <c r="E320">
        <v>8</v>
      </c>
      <c r="F320">
        <v>7</v>
      </c>
      <c r="G320">
        <v>4</v>
      </c>
      <c r="H320">
        <v>5</v>
      </c>
      <c r="I320" t="s">
        <v>15</v>
      </c>
      <c r="J320">
        <v>8</v>
      </c>
      <c r="K320" t="str">
        <f t="shared" si="4"/>
        <v>36–45</v>
      </c>
      <c r="L320" t="str">
        <f>IF(Table1[[#This Row],[Daily_Screen_Time(hrs)]]&lt;=3,"Low",IF(Table1[[#This Row],[Daily_Screen_Time(hrs)]]&lt;=6,"Medium","High"))</f>
        <v>Medium</v>
      </c>
      <c r="M320" t="str">
        <f>IF(Table1[[#This Row],[Stress_Level(1-10)]]&lt;=4,"Low",IF(Table1[[#This Row],[Stress_Level(1-10)]]&lt;=7,"Medium","High"))</f>
        <v>Medium</v>
      </c>
      <c r="N320" t="str">
        <f>IF(Table1[[#This Row],[Happiness_Index(1-10)]]&lt;=4,"Low",IF(Table1[[#This Row],[Happiness_Index(1-10)]]&lt;=7,"Normal","High"))</f>
        <v>High</v>
      </c>
    </row>
    <row r="321" spans="1:14" x14ac:dyDescent="0.25">
      <c r="A321" t="s">
        <v>338</v>
      </c>
      <c r="B321">
        <v>16</v>
      </c>
      <c r="C321" t="s">
        <v>19</v>
      </c>
      <c r="D321">
        <v>5.5</v>
      </c>
      <c r="E321">
        <v>9</v>
      </c>
      <c r="F321">
        <v>5</v>
      </c>
      <c r="G321">
        <v>6</v>
      </c>
      <c r="H321">
        <v>2</v>
      </c>
      <c r="I321" t="s">
        <v>12</v>
      </c>
      <c r="J321">
        <v>10</v>
      </c>
      <c r="K321" t="str">
        <f t="shared" si="4"/>
        <v>15–25</v>
      </c>
      <c r="L321" t="str">
        <f>IF(Table1[[#This Row],[Daily_Screen_Time(hrs)]]&lt;=3,"Low",IF(Table1[[#This Row],[Daily_Screen_Time(hrs)]]&lt;=6,"Medium","High"))</f>
        <v>Medium</v>
      </c>
      <c r="M321" t="str">
        <f>IF(Table1[[#This Row],[Stress_Level(1-10)]]&lt;=4,"Low",IF(Table1[[#This Row],[Stress_Level(1-10)]]&lt;=7,"Medium","High"))</f>
        <v>Medium</v>
      </c>
      <c r="N321" t="str">
        <f>IF(Table1[[#This Row],[Happiness_Index(1-10)]]&lt;=4,"Low",IF(Table1[[#This Row],[Happiness_Index(1-10)]]&lt;=7,"Normal","High"))</f>
        <v>High</v>
      </c>
    </row>
    <row r="322" spans="1:14" x14ac:dyDescent="0.25">
      <c r="A322" t="s">
        <v>339</v>
      </c>
      <c r="B322">
        <v>31</v>
      </c>
      <c r="C322" t="s">
        <v>11</v>
      </c>
      <c r="D322">
        <v>5.8</v>
      </c>
      <c r="E322">
        <v>6</v>
      </c>
      <c r="F322">
        <v>8</v>
      </c>
      <c r="G322">
        <v>6</v>
      </c>
      <c r="H322">
        <v>1</v>
      </c>
      <c r="I322" t="s">
        <v>12</v>
      </c>
      <c r="J322">
        <v>7</v>
      </c>
      <c r="K322" t="str">
        <f t="shared" ref="K322:K385" si="5">IF(B322&lt;=25,"15–25",IF(B322&lt;=35,"26–35",IF(B322&lt;=45,"36–45","46+")))</f>
        <v>26–35</v>
      </c>
      <c r="L322" t="str">
        <f>IF(Table1[[#This Row],[Daily_Screen_Time(hrs)]]&lt;=3,"Low",IF(Table1[[#This Row],[Daily_Screen_Time(hrs)]]&lt;=6,"Medium","High"))</f>
        <v>Medium</v>
      </c>
      <c r="M322" t="str">
        <f>IF(Table1[[#This Row],[Stress_Level(1-10)]]&lt;=4,"Low",IF(Table1[[#This Row],[Stress_Level(1-10)]]&lt;=7,"Medium","High"))</f>
        <v>High</v>
      </c>
      <c r="N322" t="str">
        <f>IF(Table1[[#This Row],[Happiness_Index(1-10)]]&lt;=4,"Low",IF(Table1[[#This Row],[Happiness_Index(1-10)]]&lt;=7,"Normal","High"))</f>
        <v>Normal</v>
      </c>
    </row>
    <row r="323" spans="1:14" x14ac:dyDescent="0.25">
      <c r="A323" t="s">
        <v>340</v>
      </c>
      <c r="B323">
        <v>20</v>
      </c>
      <c r="C323" t="s">
        <v>11</v>
      </c>
      <c r="D323">
        <v>6.3</v>
      </c>
      <c r="E323">
        <v>6</v>
      </c>
      <c r="F323">
        <v>6</v>
      </c>
      <c r="G323">
        <v>4</v>
      </c>
      <c r="H323">
        <v>2</v>
      </c>
      <c r="I323" t="s">
        <v>20</v>
      </c>
      <c r="J323">
        <v>8</v>
      </c>
      <c r="K323" t="str">
        <f t="shared" si="5"/>
        <v>15–25</v>
      </c>
      <c r="L323" t="str">
        <f>IF(Table1[[#This Row],[Daily_Screen_Time(hrs)]]&lt;=3,"Low",IF(Table1[[#This Row],[Daily_Screen_Time(hrs)]]&lt;=6,"Medium","High"))</f>
        <v>High</v>
      </c>
      <c r="M323" t="str">
        <f>IF(Table1[[#This Row],[Stress_Level(1-10)]]&lt;=4,"Low",IF(Table1[[#This Row],[Stress_Level(1-10)]]&lt;=7,"Medium","High"))</f>
        <v>Medium</v>
      </c>
      <c r="N323" t="str">
        <f>IF(Table1[[#This Row],[Happiness_Index(1-10)]]&lt;=4,"Low",IF(Table1[[#This Row],[Happiness_Index(1-10)]]&lt;=7,"Normal","High"))</f>
        <v>High</v>
      </c>
    </row>
    <row r="324" spans="1:14" x14ac:dyDescent="0.25">
      <c r="A324" t="s">
        <v>341</v>
      </c>
      <c r="B324">
        <v>37</v>
      </c>
      <c r="C324" t="s">
        <v>11</v>
      </c>
      <c r="D324">
        <v>5.3</v>
      </c>
      <c r="E324">
        <v>7</v>
      </c>
      <c r="F324">
        <v>7</v>
      </c>
      <c r="G324">
        <v>5</v>
      </c>
      <c r="H324">
        <v>1</v>
      </c>
      <c r="I324" t="s">
        <v>20</v>
      </c>
      <c r="J324">
        <v>8</v>
      </c>
      <c r="K324" t="str">
        <f t="shared" si="5"/>
        <v>36–45</v>
      </c>
      <c r="L324" t="str">
        <f>IF(Table1[[#This Row],[Daily_Screen_Time(hrs)]]&lt;=3,"Low",IF(Table1[[#This Row],[Daily_Screen_Time(hrs)]]&lt;=6,"Medium","High"))</f>
        <v>Medium</v>
      </c>
      <c r="M324" t="str">
        <f>IF(Table1[[#This Row],[Stress_Level(1-10)]]&lt;=4,"Low",IF(Table1[[#This Row],[Stress_Level(1-10)]]&lt;=7,"Medium","High"))</f>
        <v>Medium</v>
      </c>
      <c r="N324" t="str">
        <f>IF(Table1[[#This Row],[Happiness_Index(1-10)]]&lt;=4,"Low",IF(Table1[[#This Row],[Happiness_Index(1-10)]]&lt;=7,"Normal","High"))</f>
        <v>High</v>
      </c>
    </row>
    <row r="325" spans="1:14" x14ac:dyDescent="0.25">
      <c r="A325" t="s">
        <v>342</v>
      </c>
      <c r="B325">
        <v>44</v>
      </c>
      <c r="C325" t="s">
        <v>19</v>
      </c>
      <c r="D325">
        <v>7.5</v>
      </c>
      <c r="E325">
        <v>7</v>
      </c>
      <c r="F325">
        <v>8</v>
      </c>
      <c r="G325">
        <v>4</v>
      </c>
      <c r="H325">
        <v>3</v>
      </c>
      <c r="I325" t="s">
        <v>17</v>
      </c>
      <c r="J325">
        <v>9</v>
      </c>
      <c r="K325" t="str">
        <f t="shared" si="5"/>
        <v>36–45</v>
      </c>
      <c r="L325" t="str">
        <f>IF(Table1[[#This Row],[Daily_Screen_Time(hrs)]]&lt;=3,"Low",IF(Table1[[#This Row],[Daily_Screen_Time(hrs)]]&lt;=6,"Medium","High"))</f>
        <v>High</v>
      </c>
      <c r="M325" t="str">
        <f>IF(Table1[[#This Row],[Stress_Level(1-10)]]&lt;=4,"Low",IF(Table1[[#This Row],[Stress_Level(1-10)]]&lt;=7,"Medium","High"))</f>
        <v>High</v>
      </c>
      <c r="N325" t="str">
        <f>IF(Table1[[#This Row],[Happiness_Index(1-10)]]&lt;=4,"Low",IF(Table1[[#This Row],[Happiness_Index(1-10)]]&lt;=7,"Normal","High"))</f>
        <v>High</v>
      </c>
    </row>
    <row r="326" spans="1:14" x14ac:dyDescent="0.25">
      <c r="A326" t="s">
        <v>343</v>
      </c>
      <c r="B326">
        <v>18</v>
      </c>
      <c r="C326" t="s">
        <v>11</v>
      </c>
      <c r="D326">
        <v>1.7</v>
      </c>
      <c r="E326">
        <v>9</v>
      </c>
      <c r="F326">
        <v>3</v>
      </c>
      <c r="G326">
        <v>1</v>
      </c>
      <c r="H326">
        <v>2</v>
      </c>
      <c r="I326" t="s">
        <v>22</v>
      </c>
      <c r="J326">
        <v>10</v>
      </c>
      <c r="K326" t="str">
        <f t="shared" si="5"/>
        <v>15–25</v>
      </c>
      <c r="L326" t="str">
        <f>IF(Table1[[#This Row],[Daily_Screen_Time(hrs)]]&lt;=3,"Low",IF(Table1[[#This Row],[Daily_Screen_Time(hrs)]]&lt;=6,"Medium","High"))</f>
        <v>Low</v>
      </c>
      <c r="M326" t="str">
        <f>IF(Table1[[#This Row],[Stress_Level(1-10)]]&lt;=4,"Low",IF(Table1[[#This Row],[Stress_Level(1-10)]]&lt;=7,"Medium","High"))</f>
        <v>Low</v>
      </c>
      <c r="N326" t="str">
        <f>IF(Table1[[#This Row],[Happiness_Index(1-10)]]&lt;=4,"Low",IF(Table1[[#This Row],[Happiness_Index(1-10)]]&lt;=7,"Normal","High"))</f>
        <v>High</v>
      </c>
    </row>
    <row r="327" spans="1:14" x14ac:dyDescent="0.25">
      <c r="A327" t="s">
        <v>344</v>
      </c>
      <c r="B327">
        <v>27</v>
      </c>
      <c r="C327" t="s">
        <v>11</v>
      </c>
      <c r="D327">
        <v>10.8</v>
      </c>
      <c r="E327">
        <v>2</v>
      </c>
      <c r="F327">
        <v>9</v>
      </c>
      <c r="G327">
        <v>3</v>
      </c>
      <c r="H327">
        <v>2</v>
      </c>
      <c r="I327" t="s">
        <v>22</v>
      </c>
      <c r="J327">
        <v>5</v>
      </c>
      <c r="K327" t="str">
        <f t="shared" si="5"/>
        <v>26–35</v>
      </c>
      <c r="L327" t="str">
        <f>IF(Table1[[#This Row],[Daily_Screen_Time(hrs)]]&lt;=3,"Low",IF(Table1[[#This Row],[Daily_Screen_Time(hrs)]]&lt;=6,"Medium","High"))</f>
        <v>High</v>
      </c>
      <c r="M327" t="str">
        <f>IF(Table1[[#This Row],[Stress_Level(1-10)]]&lt;=4,"Low",IF(Table1[[#This Row],[Stress_Level(1-10)]]&lt;=7,"Medium","High"))</f>
        <v>High</v>
      </c>
      <c r="N327" t="str">
        <f>IF(Table1[[#This Row],[Happiness_Index(1-10)]]&lt;=4,"Low",IF(Table1[[#This Row],[Happiness_Index(1-10)]]&lt;=7,"Normal","High"))</f>
        <v>Normal</v>
      </c>
    </row>
    <row r="328" spans="1:14" x14ac:dyDescent="0.25">
      <c r="A328" t="s">
        <v>345</v>
      </c>
      <c r="B328">
        <v>41</v>
      </c>
      <c r="C328" t="s">
        <v>11</v>
      </c>
      <c r="D328">
        <v>3.9</v>
      </c>
      <c r="E328">
        <v>6</v>
      </c>
      <c r="F328">
        <v>4</v>
      </c>
      <c r="G328">
        <v>5</v>
      </c>
      <c r="H328">
        <v>2</v>
      </c>
      <c r="I328" t="s">
        <v>20</v>
      </c>
      <c r="J328">
        <v>9</v>
      </c>
      <c r="K328" t="str">
        <f t="shared" si="5"/>
        <v>36–45</v>
      </c>
      <c r="L328" t="str">
        <f>IF(Table1[[#This Row],[Daily_Screen_Time(hrs)]]&lt;=3,"Low",IF(Table1[[#This Row],[Daily_Screen_Time(hrs)]]&lt;=6,"Medium","High"))</f>
        <v>Medium</v>
      </c>
      <c r="M328" t="str">
        <f>IF(Table1[[#This Row],[Stress_Level(1-10)]]&lt;=4,"Low",IF(Table1[[#This Row],[Stress_Level(1-10)]]&lt;=7,"Medium","High"))</f>
        <v>Low</v>
      </c>
      <c r="N328" t="str">
        <f>IF(Table1[[#This Row],[Happiness_Index(1-10)]]&lt;=4,"Low",IF(Table1[[#This Row],[Happiness_Index(1-10)]]&lt;=7,"Normal","High"))</f>
        <v>High</v>
      </c>
    </row>
    <row r="329" spans="1:14" x14ac:dyDescent="0.25">
      <c r="A329" t="s">
        <v>346</v>
      </c>
      <c r="B329">
        <v>31</v>
      </c>
      <c r="C329" t="s">
        <v>19</v>
      </c>
      <c r="D329">
        <v>6.2</v>
      </c>
      <c r="E329">
        <v>6</v>
      </c>
      <c r="F329">
        <v>7</v>
      </c>
      <c r="G329">
        <v>6</v>
      </c>
      <c r="H329">
        <v>2</v>
      </c>
      <c r="I329" t="s">
        <v>12</v>
      </c>
      <c r="J329">
        <v>8</v>
      </c>
      <c r="K329" t="str">
        <f t="shared" si="5"/>
        <v>26–35</v>
      </c>
      <c r="L329" t="str">
        <f>IF(Table1[[#This Row],[Daily_Screen_Time(hrs)]]&lt;=3,"Low",IF(Table1[[#This Row],[Daily_Screen_Time(hrs)]]&lt;=6,"Medium","High"))</f>
        <v>High</v>
      </c>
      <c r="M329" t="str">
        <f>IF(Table1[[#This Row],[Stress_Level(1-10)]]&lt;=4,"Low",IF(Table1[[#This Row],[Stress_Level(1-10)]]&lt;=7,"Medium","High"))</f>
        <v>Medium</v>
      </c>
      <c r="N329" t="str">
        <f>IF(Table1[[#This Row],[Happiness_Index(1-10)]]&lt;=4,"Low",IF(Table1[[#This Row],[Happiness_Index(1-10)]]&lt;=7,"Normal","High"))</f>
        <v>High</v>
      </c>
    </row>
    <row r="330" spans="1:14" x14ac:dyDescent="0.25">
      <c r="A330" t="s">
        <v>347</v>
      </c>
      <c r="B330">
        <v>37</v>
      </c>
      <c r="C330" t="s">
        <v>19</v>
      </c>
      <c r="D330">
        <v>3.8</v>
      </c>
      <c r="E330">
        <v>7</v>
      </c>
      <c r="F330">
        <v>4</v>
      </c>
      <c r="G330">
        <v>2</v>
      </c>
      <c r="H330">
        <v>3</v>
      </c>
      <c r="I330" t="s">
        <v>20</v>
      </c>
      <c r="J330">
        <v>10</v>
      </c>
      <c r="K330" t="str">
        <f t="shared" si="5"/>
        <v>36–45</v>
      </c>
      <c r="L330" t="str">
        <f>IF(Table1[[#This Row],[Daily_Screen_Time(hrs)]]&lt;=3,"Low",IF(Table1[[#This Row],[Daily_Screen_Time(hrs)]]&lt;=6,"Medium","High"))</f>
        <v>Medium</v>
      </c>
      <c r="M330" t="str">
        <f>IF(Table1[[#This Row],[Stress_Level(1-10)]]&lt;=4,"Low",IF(Table1[[#This Row],[Stress_Level(1-10)]]&lt;=7,"Medium","High"))</f>
        <v>Low</v>
      </c>
      <c r="N330" t="str">
        <f>IF(Table1[[#This Row],[Happiness_Index(1-10)]]&lt;=4,"Low",IF(Table1[[#This Row],[Happiness_Index(1-10)]]&lt;=7,"Normal","High"))</f>
        <v>High</v>
      </c>
    </row>
    <row r="331" spans="1:14" x14ac:dyDescent="0.25">
      <c r="A331" t="s">
        <v>348</v>
      </c>
      <c r="B331">
        <v>44</v>
      </c>
      <c r="C331" t="s">
        <v>11</v>
      </c>
      <c r="D331">
        <v>6.7</v>
      </c>
      <c r="E331">
        <v>8</v>
      </c>
      <c r="F331">
        <v>6</v>
      </c>
      <c r="G331">
        <v>4</v>
      </c>
      <c r="H331">
        <v>2</v>
      </c>
      <c r="I331" t="s">
        <v>12</v>
      </c>
      <c r="J331">
        <v>10</v>
      </c>
      <c r="K331" t="str">
        <f t="shared" si="5"/>
        <v>36–45</v>
      </c>
      <c r="L331" t="str">
        <f>IF(Table1[[#This Row],[Daily_Screen_Time(hrs)]]&lt;=3,"Low",IF(Table1[[#This Row],[Daily_Screen_Time(hrs)]]&lt;=6,"Medium","High"))</f>
        <v>High</v>
      </c>
      <c r="M331" t="str">
        <f>IF(Table1[[#This Row],[Stress_Level(1-10)]]&lt;=4,"Low",IF(Table1[[#This Row],[Stress_Level(1-10)]]&lt;=7,"Medium","High"))</f>
        <v>Medium</v>
      </c>
      <c r="N331" t="str">
        <f>IF(Table1[[#This Row],[Happiness_Index(1-10)]]&lt;=4,"Low",IF(Table1[[#This Row],[Happiness_Index(1-10)]]&lt;=7,"Normal","High"))</f>
        <v>High</v>
      </c>
    </row>
    <row r="332" spans="1:14" x14ac:dyDescent="0.25">
      <c r="A332" t="s">
        <v>349</v>
      </c>
      <c r="B332">
        <v>29</v>
      </c>
      <c r="C332" t="s">
        <v>11</v>
      </c>
      <c r="D332">
        <v>6</v>
      </c>
      <c r="E332">
        <v>8</v>
      </c>
      <c r="F332">
        <v>7</v>
      </c>
      <c r="G332">
        <v>3</v>
      </c>
      <c r="H332">
        <v>2</v>
      </c>
      <c r="I332" t="s">
        <v>12</v>
      </c>
      <c r="J332">
        <v>7</v>
      </c>
      <c r="K332" t="str">
        <f t="shared" si="5"/>
        <v>26–35</v>
      </c>
      <c r="L332" t="str">
        <f>IF(Table1[[#This Row],[Daily_Screen_Time(hrs)]]&lt;=3,"Low",IF(Table1[[#This Row],[Daily_Screen_Time(hrs)]]&lt;=6,"Medium","High"))</f>
        <v>Medium</v>
      </c>
      <c r="M332" t="str">
        <f>IF(Table1[[#This Row],[Stress_Level(1-10)]]&lt;=4,"Low",IF(Table1[[#This Row],[Stress_Level(1-10)]]&lt;=7,"Medium","High"))</f>
        <v>Medium</v>
      </c>
      <c r="N332" t="str">
        <f>IF(Table1[[#This Row],[Happiness_Index(1-10)]]&lt;=4,"Low",IF(Table1[[#This Row],[Happiness_Index(1-10)]]&lt;=7,"Normal","High"))</f>
        <v>Normal</v>
      </c>
    </row>
    <row r="333" spans="1:14" x14ac:dyDescent="0.25">
      <c r="A333" t="s">
        <v>350</v>
      </c>
      <c r="B333">
        <v>43</v>
      </c>
      <c r="C333" t="s">
        <v>19</v>
      </c>
      <c r="D333">
        <v>4.3</v>
      </c>
      <c r="E333">
        <v>6</v>
      </c>
      <c r="F333">
        <v>3</v>
      </c>
      <c r="G333">
        <v>3</v>
      </c>
      <c r="H333">
        <v>2</v>
      </c>
      <c r="I333" t="s">
        <v>20</v>
      </c>
      <c r="J333">
        <v>10</v>
      </c>
      <c r="K333" t="str">
        <f t="shared" si="5"/>
        <v>36–45</v>
      </c>
      <c r="L333" t="str">
        <f>IF(Table1[[#This Row],[Daily_Screen_Time(hrs)]]&lt;=3,"Low",IF(Table1[[#This Row],[Daily_Screen_Time(hrs)]]&lt;=6,"Medium","High"))</f>
        <v>Medium</v>
      </c>
      <c r="M333" t="str">
        <f>IF(Table1[[#This Row],[Stress_Level(1-10)]]&lt;=4,"Low",IF(Table1[[#This Row],[Stress_Level(1-10)]]&lt;=7,"Medium","High"))</f>
        <v>Low</v>
      </c>
      <c r="N333" t="str">
        <f>IF(Table1[[#This Row],[Happiness_Index(1-10)]]&lt;=4,"Low",IF(Table1[[#This Row],[Happiness_Index(1-10)]]&lt;=7,"Normal","High"))</f>
        <v>High</v>
      </c>
    </row>
    <row r="334" spans="1:14" x14ac:dyDescent="0.25">
      <c r="A334" t="s">
        <v>351</v>
      </c>
      <c r="B334">
        <v>20</v>
      </c>
      <c r="C334" t="s">
        <v>11</v>
      </c>
      <c r="D334">
        <v>7.4</v>
      </c>
      <c r="E334">
        <v>4</v>
      </c>
      <c r="F334">
        <v>9</v>
      </c>
      <c r="G334">
        <v>4</v>
      </c>
      <c r="H334">
        <v>2</v>
      </c>
      <c r="I334" t="s">
        <v>26</v>
      </c>
      <c r="J334">
        <v>6</v>
      </c>
      <c r="K334" t="str">
        <f t="shared" si="5"/>
        <v>15–25</v>
      </c>
      <c r="L334" t="str">
        <f>IF(Table1[[#This Row],[Daily_Screen_Time(hrs)]]&lt;=3,"Low",IF(Table1[[#This Row],[Daily_Screen_Time(hrs)]]&lt;=6,"Medium","High"))</f>
        <v>High</v>
      </c>
      <c r="M334" t="str">
        <f>IF(Table1[[#This Row],[Stress_Level(1-10)]]&lt;=4,"Low",IF(Table1[[#This Row],[Stress_Level(1-10)]]&lt;=7,"Medium","High"))</f>
        <v>High</v>
      </c>
      <c r="N334" t="str">
        <f>IF(Table1[[#This Row],[Happiness_Index(1-10)]]&lt;=4,"Low",IF(Table1[[#This Row],[Happiness_Index(1-10)]]&lt;=7,"Normal","High"))</f>
        <v>Normal</v>
      </c>
    </row>
    <row r="335" spans="1:14" x14ac:dyDescent="0.25">
      <c r="A335" t="s">
        <v>352</v>
      </c>
      <c r="B335">
        <v>45</v>
      </c>
      <c r="C335" t="s">
        <v>11</v>
      </c>
      <c r="D335">
        <v>5.2</v>
      </c>
      <c r="E335">
        <v>7</v>
      </c>
      <c r="F335">
        <v>4</v>
      </c>
      <c r="G335">
        <v>3</v>
      </c>
      <c r="H335">
        <v>3</v>
      </c>
      <c r="I335" t="s">
        <v>22</v>
      </c>
      <c r="J335">
        <v>10</v>
      </c>
      <c r="K335" t="str">
        <f t="shared" si="5"/>
        <v>36–45</v>
      </c>
      <c r="L335" t="str">
        <f>IF(Table1[[#This Row],[Daily_Screen_Time(hrs)]]&lt;=3,"Low",IF(Table1[[#This Row],[Daily_Screen_Time(hrs)]]&lt;=6,"Medium","High"))</f>
        <v>Medium</v>
      </c>
      <c r="M335" t="str">
        <f>IF(Table1[[#This Row],[Stress_Level(1-10)]]&lt;=4,"Low",IF(Table1[[#This Row],[Stress_Level(1-10)]]&lt;=7,"Medium","High"))</f>
        <v>Low</v>
      </c>
      <c r="N335" t="str">
        <f>IF(Table1[[#This Row],[Happiness_Index(1-10)]]&lt;=4,"Low",IF(Table1[[#This Row],[Happiness_Index(1-10)]]&lt;=7,"Normal","High"))</f>
        <v>High</v>
      </c>
    </row>
    <row r="336" spans="1:14" x14ac:dyDescent="0.25">
      <c r="A336" t="s">
        <v>353</v>
      </c>
      <c r="B336">
        <v>20</v>
      </c>
      <c r="C336" t="s">
        <v>11</v>
      </c>
      <c r="D336">
        <v>6.5</v>
      </c>
      <c r="E336">
        <v>7</v>
      </c>
      <c r="F336">
        <v>7</v>
      </c>
      <c r="G336">
        <v>4</v>
      </c>
      <c r="H336">
        <v>1</v>
      </c>
      <c r="I336" t="s">
        <v>15</v>
      </c>
      <c r="J336">
        <v>7</v>
      </c>
      <c r="K336" t="str">
        <f t="shared" si="5"/>
        <v>15–25</v>
      </c>
      <c r="L336" t="str">
        <f>IF(Table1[[#This Row],[Daily_Screen_Time(hrs)]]&lt;=3,"Low",IF(Table1[[#This Row],[Daily_Screen_Time(hrs)]]&lt;=6,"Medium","High"))</f>
        <v>High</v>
      </c>
      <c r="M336" t="str">
        <f>IF(Table1[[#This Row],[Stress_Level(1-10)]]&lt;=4,"Low",IF(Table1[[#This Row],[Stress_Level(1-10)]]&lt;=7,"Medium","High"))</f>
        <v>Medium</v>
      </c>
      <c r="N336" t="str">
        <f>IF(Table1[[#This Row],[Happiness_Index(1-10)]]&lt;=4,"Low",IF(Table1[[#This Row],[Happiness_Index(1-10)]]&lt;=7,"Normal","High"))</f>
        <v>Normal</v>
      </c>
    </row>
    <row r="337" spans="1:14" x14ac:dyDescent="0.25">
      <c r="A337" t="s">
        <v>354</v>
      </c>
      <c r="B337">
        <v>27</v>
      </c>
      <c r="C337" t="s">
        <v>11</v>
      </c>
      <c r="D337">
        <v>3.8</v>
      </c>
      <c r="E337">
        <v>8</v>
      </c>
      <c r="F337">
        <v>6</v>
      </c>
      <c r="G337">
        <v>6</v>
      </c>
      <c r="H337">
        <v>4</v>
      </c>
      <c r="I337" t="s">
        <v>12</v>
      </c>
      <c r="J337">
        <v>10</v>
      </c>
      <c r="K337" t="str">
        <f t="shared" si="5"/>
        <v>26–35</v>
      </c>
      <c r="L337" t="str">
        <f>IF(Table1[[#This Row],[Daily_Screen_Time(hrs)]]&lt;=3,"Low",IF(Table1[[#This Row],[Daily_Screen_Time(hrs)]]&lt;=6,"Medium","High"))</f>
        <v>Medium</v>
      </c>
      <c r="M337" t="str">
        <f>IF(Table1[[#This Row],[Stress_Level(1-10)]]&lt;=4,"Low",IF(Table1[[#This Row],[Stress_Level(1-10)]]&lt;=7,"Medium","High"))</f>
        <v>Medium</v>
      </c>
      <c r="N337" t="str">
        <f>IF(Table1[[#This Row],[Happiness_Index(1-10)]]&lt;=4,"Low",IF(Table1[[#This Row],[Happiness_Index(1-10)]]&lt;=7,"Normal","High"))</f>
        <v>High</v>
      </c>
    </row>
    <row r="338" spans="1:14" x14ac:dyDescent="0.25">
      <c r="A338" t="s">
        <v>355</v>
      </c>
      <c r="B338">
        <v>31</v>
      </c>
      <c r="C338" t="s">
        <v>11</v>
      </c>
      <c r="D338">
        <v>5.4</v>
      </c>
      <c r="E338">
        <v>6</v>
      </c>
      <c r="F338">
        <v>7</v>
      </c>
      <c r="G338">
        <v>5</v>
      </c>
      <c r="H338">
        <v>3</v>
      </c>
      <c r="I338" t="s">
        <v>12</v>
      </c>
      <c r="J338">
        <v>8</v>
      </c>
      <c r="K338" t="str">
        <f t="shared" si="5"/>
        <v>26–35</v>
      </c>
      <c r="L338" t="str">
        <f>IF(Table1[[#This Row],[Daily_Screen_Time(hrs)]]&lt;=3,"Low",IF(Table1[[#This Row],[Daily_Screen_Time(hrs)]]&lt;=6,"Medium","High"))</f>
        <v>Medium</v>
      </c>
      <c r="M338" t="str">
        <f>IF(Table1[[#This Row],[Stress_Level(1-10)]]&lt;=4,"Low",IF(Table1[[#This Row],[Stress_Level(1-10)]]&lt;=7,"Medium","High"))</f>
        <v>Medium</v>
      </c>
      <c r="N338" t="str">
        <f>IF(Table1[[#This Row],[Happiness_Index(1-10)]]&lt;=4,"Low",IF(Table1[[#This Row],[Happiness_Index(1-10)]]&lt;=7,"Normal","High"))</f>
        <v>High</v>
      </c>
    </row>
    <row r="339" spans="1:14" x14ac:dyDescent="0.25">
      <c r="A339" t="s">
        <v>356</v>
      </c>
      <c r="B339">
        <v>41</v>
      </c>
      <c r="C339" t="s">
        <v>19</v>
      </c>
      <c r="D339">
        <v>9.1</v>
      </c>
      <c r="E339">
        <v>4</v>
      </c>
      <c r="F339">
        <v>9</v>
      </c>
      <c r="G339">
        <v>4</v>
      </c>
      <c r="H339">
        <v>2</v>
      </c>
      <c r="I339" t="s">
        <v>26</v>
      </c>
      <c r="J339">
        <v>7</v>
      </c>
      <c r="K339" t="str">
        <f t="shared" si="5"/>
        <v>36–45</v>
      </c>
      <c r="L339" t="str">
        <f>IF(Table1[[#This Row],[Daily_Screen_Time(hrs)]]&lt;=3,"Low",IF(Table1[[#This Row],[Daily_Screen_Time(hrs)]]&lt;=6,"Medium","High"))</f>
        <v>High</v>
      </c>
      <c r="M339" t="str">
        <f>IF(Table1[[#This Row],[Stress_Level(1-10)]]&lt;=4,"Low",IF(Table1[[#This Row],[Stress_Level(1-10)]]&lt;=7,"Medium","High"))</f>
        <v>High</v>
      </c>
      <c r="N339" t="str">
        <f>IF(Table1[[#This Row],[Happiness_Index(1-10)]]&lt;=4,"Low",IF(Table1[[#This Row],[Happiness_Index(1-10)]]&lt;=7,"Normal","High"))</f>
        <v>Normal</v>
      </c>
    </row>
    <row r="340" spans="1:14" x14ac:dyDescent="0.25">
      <c r="A340" t="s">
        <v>357</v>
      </c>
      <c r="B340">
        <v>41</v>
      </c>
      <c r="C340" t="s">
        <v>11</v>
      </c>
      <c r="D340">
        <v>7.2</v>
      </c>
      <c r="E340">
        <v>5</v>
      </c>
      <c r="F340">
        <v>10</v>
      </c>
      <c r="G340">
        <v>7</v>
      </c>
      <c r="H340">
        <v>3</v>
      </c>
      <c r="I340" t="s">
        <v>15</v>
      </c>
      <c r="J340">
        <v>7</v>
      </c>
      <c r="K340" t="str">
        <f t="shared" si="5"/>
        <v>36–45</v>
      </c>
      <c r="L340" t="str">
        <f>IF(Table1[[#This Row],[Daily_Screen_Time(hrs)]]&lt;=3,"Low",IF(Table1[[#This Row],[Daily_Screen_Time(hrs)]]&lt;=6,"Medium","High"))</f>
        <v>High</v>
      </c>
      <c r="M340" t="str">
        <f>IF(Table1[[#This Row],[Stress_Level(1-10)]]&lt;=4,"Low",IF(Table1[[#This Row],[Stress_Level(1-10)]]&lt;=7,"Medium","High"))</f>
        <v>High</v>
      </c>
      <c r="N340" t="str">
        <f>IF(Table1[[#This Row],[Happiness_Index(1-10)]]&lt;=4,"Low",IF(Table1[[#This Row],[Happiness_Index(1-10)]]&lt;=7,"Normal","High"))</f>
        <v>Normal</v>
      </c>
    </row>
    <row r="341" spans="1:14" x14ac:dyDescent="0.25">
      <c r="A341" t="s">
        <v>358</v>
      </c>
      <c r="B341">
        <v>36</v>
      </c>
      <c r="C341" t="s">
        <v>19</v>
      </c>
      <c r="D341">
        <v>6.1</v>
      </c>
      <c r="E341">
        <v>7</v>
      </c>
      <c r="F341">
        <v>7</v>
      </c>
      <c r="G341">
        <v>5</v>
      </c>
      <c r="H341">
        <v>2</v>
      </c>
      <c r="I341" t="s">
        <v>17</v>
      </c>
      <c r="J341">
        <v>9</v>
      </c>
      <c r="K341" t="str">
        <f t="shared" si="5"/>
        <v>36–45</v>
      </c>
      <c r="L341" t="str">
        <f>IF(Table1[[#This Row],[Daily_Screen_Time(hrs)]]&lt;=3,"Low",IF(Table1[[#This Row],[Daily_Screen_Time(hrs)]]&lt;=6,"Medium","High"))</f>
        <v>High</v>
      </c>
      <c r="M341" t="str">
        <f>IF(Table1[[#This Row],[Stress_Level(1-10)]]&lt;=4,"Low",IF(Table1[[#This Row],[Stress_Level(1-10)]]&lt;=7,"Medium","High"))</f>
        <v>Medium</v>
      </c>
      <c r="N341" t="str">
        <f>IF(Table1[[#This Row],[Happiness_Index(1-10)]]&lt;=4,"Low",IF(Table1[[#This Row],[Happiness_Index(1-10)]]&lt;=7,"Normal","High"))</f>
        <v>High</v>
      </c>
    </row>
    <row r="342" spans="1:14" x14ac:dyDescent="0.25">
      <c r="A342" t="s">
        <v>359</v>
      </c>
      <c r="B342">
        <v>48</v>
      </c>
      <c r="C342" t="s">
        <v>11</v>
      </c>
      <c r="D342">
        <v>4.7</v>
      </c>
      <c r="E342">
        <v>6</v>
      </c>
      <c r="F342">
        <v>7</v>
      </c>
      <c r="G342">
        <v>3</v>
      </c>
      <c r="H342">
        <v>0</v>
      </c>
      <c r="I342" t="s">
        <v>26</v>
      </c>
      <c r="J342">
        <v>8</v>
      </c>
      <c r="K342" t="str">
        <f t="shared" si="5"/>
        <v>46+</v>
      </c>
      <c r="L342" t="str">
        <f>IF(Table1[[#This Row],[Daily_Screen_Time(hrs)]]&lt;=3,"Low",IF(Table1[[#This Row],[Daily_Screen_Time(hrs)]]&lt;=6,"Medium","High"))</f>
        <v>Medium</v>
      </c>
      <c r="M342" t="str">
        <f>IF(Table1[[#This Row],[Stress_Level(1-10)]]&lt;=4,"Low",IF(Table1[[#This Row],[Stress_Level(1-10)]]&lt;=7,"Medium","High"))</f>
        <v>Medium</v>
      </c>
      <c r="N342" t="str">
        <f>IF(Table1[[#This Row],[Happiness_Index(1-10)]]&lt;=4,"Low",IF(Table1[[#This Row],[Happiness_Index(1-10)]]&lt;=7,"Normal","High"))</f>
        <v>High</v>
      </c>
    </row>
    <row r="343" spans="1:14" x14ac:dyDescent="0.25">
      <c r="A343" t="s">
        <v>360</v>
      </c>
      <c r="B343">
        <v>45</v>
      </c>
      <c r="C343" t="s">
        <v>19</v>
      </c>
      <c r="D343">
        <v>5.6</v>
      </c>
      <c r="E343">
        <v>6</v>
      </c>
      <c r="F343">
        <v>6</v>
      </c>
      <c r="G343">
        <v>1</v>
      </c>
      <c r="H343">
        <v>3</v>
      </c>
      <c r="I343" t="s">
        <v>15</v>
      </c>
      <c r="J343">
        <v>7</v>
      </c>
      <c r="K343" t="str">
        <f t="shared" si="5"/>
        <v>36–45</v>
      </c>
      <c r="L343" t="str">
        <f>IF(Table1[[#This Row],[Daily_Screen_Time(hrs)]]&lt;=3,"Low",IF(Table1[[#This Row],[Daily_Screen_Time(hrs)]]&lt;=6,"Medium","High"))</f>
        <v>Medium</v>
      </c>
      <c r="M343" t="str">
        <f>IF(Table1[[#This Row],[Stress_Level(1-10)]]&lt;=4,"Low",IF(Table1[[#This Row],[Stress_Level(1-10)]]&lt;=7,"Medium","High"))</f>
        <v>Medium</v>
      </c>
      <c r="N343" t="str">
        <f>IF(Table1[[#This Row],[Happiness_Index(1-10)]]&lt;=4,"Low",IF(Table1[[#This Row],[Happiness_Index(1-10)]]&lt;=7,"Normal","High"))</f>
        <v>Normal</v>
      </c>
    </row>
    <row r="344" spans="1:14" x14ac:dyDescent="0.25">
      <c r="A344" t="s">
        <v>361</v>
      </c>
      <c r="B344">
        <v>38</v>
      </c>
      <c r="C344" t="s">
        <v>19</v>
      </c>
      <c r="D344">
        <v>5.9</v>
      </c>
      <c r="E344">
        <v>7</v>
      </c>
      <c r="F344">
        <v>7</v>
      </c>
      <c r="G344">
        <v>1</v>
      </c>
      <c r="H344">
        <v>1</v>
      </c>
      <c r="I344" t="s">
        <v>26</v>
      </c>
      <c r="J344">
        <v>8</v>
      </c>
      <c r="K344" t="str">
        <f t="shared" si="5"/>
        <v>36–45</v>
      </c>
      <c r="L344" t="str">
        <f>IF(Table1[[#This Row],[Daily_Screen_Time(hrs)]]&lt;=3,"Low",IF(Table1[[#This Row],[Daily_Screen_Time(hrs)]]&lt;=6,"Medium","High"))</f>
        <v>Medium</v>
      </c>
      <c r="M344" t="str">
        <f>IF(Table1[[#This Row],[Stress_Level(1-10)]]&lt;=4,"Low",IF(Table1[[#This Row],[Stress_Level(1-10)]]&lt;=7,"Medium","High"))</f>
        <v>Medium</v>
      </c>
      <c r="N344" t="str">
        <f>IF(Table1[[#This Row],[Happiness_Index(1-10)]]&lt;=4,"Low",IF(Table1[[#This Row],[Happiness_Index(1-10)]]&lt;=7,"Normal","High"))</f>
        <v>High</v>
      </c>
    </row>
    <row r="345" spans="1:14" x14ac:dyDescent="0.25">
      <c r="A345" t="s">
        <v>362</v>
      </c>
      <c r="B345">
        <v>25</v>
      </c>
      <c r="C345" t="s">
        <v>11</v>
      </c>
      <c r="D345">
        <v>6.3</v>
      </c>
      <c r="E345">
        <v>5</v>
      </c>
      <c r="F345">
        <v>9</v>
      </c>
      <c r="G345">
        <v>5</v>
      </c>
      <c r="H345">
        <v>4</v>
      </c>
      <c r="I345" t="s">
        <v>12</v>
      </c>
      <c r="J345">
        <v>8</v>
      </c>
      <c r="K345" t="str">
        <f t="shared" si="5"/>
        <v>15–25</v>
      </c>
      <c r="L345" t="str">
        <f>IF(Table1[[#This Row],[Daily_Screen_Time(hrs)]]&lt;=3,"Low",IF(Table1[[#This Row],[Daily_Screen_Time(hrs)]]&lt;=6,"Medium","High"))</f>
        <v>High</v>
      </c>
      <c r="M345" t="str">
        <f>IF(Table1[[#This Row],[Stress_Level(1-10)]]&lt;=4,"Low",IF(Table1[[#This Row],[Stress_Level(1-10)]]&lt;=7,"Medium","High"))</f>
        <v>High</v>
      </c>
      <c r="N345" t="str">
        <f>IF(Table1[[#This Row],[Happiness_Index(1-10)]]&lt;=4,"Low",IF(Table1[[#This Row],[Happiness_Index(1-10)]]&lt;=7,"Normal","High"))</f>
        <v>High</v>
      </c>
    </row>
    <row r="346" spans="1:14" x14ac:dyDescent="0.25">
      <c r="A346" t="s">
        <v>363</v>
      </c>
      <c r="B346">
        <v>20</v>
      </c>
      <c r="C346" t="s">
        <v>19</v>
      </c>
      <c r="D346">
        <v>3.6</v>
      </c>
      <c r="E346">
        <v>6</v>
      </c>
      <c r="F346">
        <v>5</v>
      </c>
      <c r="G346">
        <v>2</v>
      </c>
      <c r="H346">
        <v>2</v>
      </c>
      <c r="I346" t="s">
        <v>22</v>
      </c>
      <c r="J346">
        <v>10</v>
      </c>
      <c r="K346" t="str">
        <f t="shared" si="5"/>
        <v>15–25</v>
      </c>
      <c r="L346" t="str">
        <f>IF(Table1[[#This Row],[Daily_Screen_Time(hrs)]]&lt;=3,"Low",IF(Table1[[#This Row],[Daily_Screen_Time(hrs)]]&lt;=6,"Medium","High"))</f>
        <v>Medium</v>
      </c>
      <c r="M346" t="str">
        <f>IF(Table1[[#This Row],[Stress_Level(1-10)]]&lt;=4,"Low",IF(Table1[[#This Row],[Stress_Level(1-10)]]&lt;=7,"Medium","High"))</f>
        <v>Medium</v>
      </c>
      <c r="N346" t="str">
        <f>IF(Table1[[#This Row],[Happiness_Index(1-10)]]&lt;=4,"Low",IF(Table1[[#This Row],[Happiness_Index(1-10)]]&lt;=7,"Normal","High"))</f>
        <v>High</v>
      </c>
    </row>
    <row r="347" spans="1:14" x14ac:dyDescent="0.25">
      <c r="A347" t="s">
        <v>364</v>
      </c>
      <c r="B347">
        <v>49</v>
      </c>
      <c r="C347" t="s">
        <v>11</v>
      </c>
      <c r="D347">
        <v>6.7</v>
      </c>
      <c r="E347">
        <v>6</v>
      </c>
      <c r="F347">
        <v>8</v>
      </c>
      <c r="G347">
        <v>1</v>
      </c>
      <c r="H347">
        <v>4</v>
      </c>
      <c r="I347" t="s">
        <v>26</v>
      </c>
      <c r="J347">
        <v>8</v>
      </c>
      <c r="K347" t="str">
        <f t="shared" si="5"/>
        <v>46+</v>
      </c>
      <c r="L347" t="str">
        <f>IF(Table1[[#This Row],[Daily_Screen_Time(hrs)]]&lt;=3,"Low",IF(Table1[[#This Row],[Daily_Screen_Time(hrs)]]&lt;=6,"Medium","High"))</f>
        <v>High</v>
      </c>
      <c r="M347" t="str">
        <f>IF(Table1[[#This Row],[Stress_Level(1-10)]]&lt;=4,"Low",IF(Table1[[#This Row],[Stress_Level(1-10)]]&lt;=7,"Medium","High"))</f>
        <v>High</v>
      </c>
      <c r="N347" t="str">
        <f>IF(Table1[[#This Row],[Happiness_Index(1-10)]]&lt;=4,"Low",IF(Table1[[#This Row],[Happiness_Index(1-10)]]&lt;=7,"Normal","High"))</f>
        <v>High</v>
      </c>
    </row>
    <row r="348" spans="1:14" x14ac:dyDescent="0.25">
      <c r="A348" t="s">
        <v>365</v>
      </c>
      <c r="B348">
        <v>46</v>
      </c>
      <c r="C348" t="s">
        <v>14</v>
      </c>
      <c r="D348">
        <v>3.5</v>
      </c>
      <c r="E348">
        <v>7</v>
      </c>
      <c r="F348">
        <v>6</v>
      </c>
      <c r="G348">
        <v>1</v>
      </c>
      <c r="H348">
        <v>2</v>
      </c>
      <c r="I348" t="s">
        <v>17</v>
      </c>
      <c r="J348">
        <v>10</v>
      </c>
      <c r="K348" t="str">
        <f t="shared" si="5"/>
        <v>46+</v>
      </c>
      <c r="L348" t="str">
        <f>IF(Table1[[#This Row],[Daily_Screen_Time(hrs)]]&lt;=3,"Low",IF(Table1[[#This Row],[Daily_Screen_Time(hrs)]]&lt;=6,"Medium","High"))</f>
        <v>Medium</v>
      </c>
      <c r="M348" t="str">
        <f>IF(Table1[[#This Row],[Stress_Level(1-10)]]&lt;=4,"Low",IF(Table1[[#This Row],[Stress_Level(1-10)]]&lt;=7,"Medium","High"))</f>
        <v>Medium</v>
      </c>
      <c r="N348" t="str">
        <f>IF(Table1[[#This Row],[Happiness_Index(1-10)]]&lt;=4,"Low",IF(Table1[[#This Row],[Happiness_Index(1-10)]]&lt;=7,"Normal","High"))</f>
        <v>High</v>
      </c>
    </row>
    <row r="349" spans="1:14" x14ac:dyDescent="0.25">
      <c r="A349" t="s">
        <v>366</v>
      </c>
      <c r="B349">
        <v>25</v>
      </c>
      <c r="C349" t="s">
        <v>11</v>
      </c>
      <c r="D349">
        <v>8.4</v>
      </c>
      <c r="E349">
        <v>5</v>
      </c>
      <c r="F349">
        <v>8</v>
      </c>
      <c r="G349">
        <v>2</v>
      </c>
      <c r="H349">
        <v>3</v>
      </c>
      <c r="I349" t="s">
        <v>20</v>
      </c>
      <c r="J349">
        <v>8</v>
      </c>
      <c r="K349" t="str">
        <f t="shared" si="5"/>
        <v>15–25</v>
      </c>
      <c r="L349" t="str">
        <f>IF(Table1[[#This Row],[Daily_Screen_Time(hrs)]]&lt;=3,"Low",IF(Table1[[#This Row],[Daily_Screen_Time(hrs)]]&lt;=6,"Medium","High"))</f>
        <v>High</v>
      </c>
      <c r="M349" t="str">
        <f>IF(Table1[[#This Row],[Stress_Level(1-10)]]&lt;=4,"Low",IF(Table1[[#This Row],[Stress_Level(1-10)]]&lt;=7,"Medium","High"))</f>
        <v>High</v>
      </c>
      <c r="N349" t="str">
        <f>IF(Table1[[#This Row],[Happiness_Index(1-10)]]&lt;=4,"Low",IF(Table1[[#This Row],[Happiness_Index(1-10)]]&lt;=7,"Normal","High"))</f>
        <v>High</v>
      </c>
    </row>
    <row r="350" spans="1:14" x14ac:dyDescent="0.25">
      <c r="A350" t="s">
        <v>367</v>
      </c>
      <c r="B350">
        <v>34</v>
      </c>
      <c r="C350" t="s">
        <v>11</v>
      </c>
      <c r="D350">
        <v>4.0999999999999996</v>
      </c>
      <c r="E350">
        <v>8</v>
      </c>
      <c r="F350">
        <v>4</v>
      </c>
      <c r="G350">
        <v>5</v>
      </c>
      <c r="H350">
        <v>4</v>
      </c>
      <c r="I350" t="s">
        <v>15</v>
      </c>
      <c r="J350">
        <v>10</v>
      </c>
      <c r="K350" t="str">
        <f t="shared" si="5"/>
        <v>26–35</v>
      </c>
      <c r="L350" t="str">
        <f>IF(Table1[[#This Row],[Daily_Screen_Time(hrs)]]&lt;=3,"Low",IF(Table1[[#This Row],[Daily_Screen_Time(hrs)]]&lt;=6,"Medium","High"))</f>
        <v>Medium</v>
      </c>
      <c r="M350" t="str">
        <f>IF(Table1[[#This Row],[Stress_Level(1-10)]]&lt;=4,"Low",IF(Table1[[#This Row],[Stress_Level(1-10)]]&lt;=7,"Medium","High"))</f>
        <v>Low</v>
      </c>
      <c r="N350" t="str">
        <f>IF(Table1[[#This Row],[Happiness_Index(1-10)]]&lt;=4,"Low",IF(Table1[[#This Row],[Happiness_Index(1-10)]]&lt;=7,"Normal","High"))</f>
        <v>High</v>
      </c>
    </row>
    <row r="351" spans="1:14" x14ac:dyDescent="0.25">
      <c r="A351" t="s">
        <v>368</v>
      </c>
      <c r="B351">
        <v>47</v>
      </c>
      <c r="C351" t="s">
        <v>11</v>
      </c>
      <c r="D351">
        <v>6</v>
      </c>
      <c r="E351">
        <v>6</v>
      </c>
      <c r="F351">
        <v>7</v>
      </c>
      <c r="G351">
        <v>3</v>
      </c>
      <c r="H351">
        <v>2</v>
      </c>
      <c r="I351" t="s">
        <v>26</v>
      </c>
      <c r="J351">
        <v>8</v>
      </c>
      <c r="K351" t="str">
        <f t="shared" si="5"/>
        <v>46+</v>
      </c>
      <c r="L351" t="str">
        <f>IF(Table1[[#This Row],[Daily_Screen_Time(hrs)]]&lt;=3,"Low",IF(Table1[[#This Row],[Daily_Screen_Time(hrs)]]&lt;=6,"Medium","High"))</f>
        <v>Medium</v>
      </c>
      <c r="M351" t="str">
        <f>IF(Table1[[#This Row],[Stress_Level(1-10)]]&lt;=4,"Low",IF(Table1[[#This Row],[Stress_Level(1-10)]]&lt;=7,"Medium","High"))</f>
        <v>Medium</v>
      </c>
      <c r="N351" t="str">
        <f>IF(Table1[[#This Row],[Happiness_Index(1-10)]]&lt;=4,"Low",IF(Table1[[#This Row],[Happiness_Index(1-10)]]&lt;=7,"Normal","High"))</f>
        <v>High</v>
      </c>
    </row>
    <row r="352" spans="1:14" x14ac:dyDescent="0.25">
      <c r="A352" t="s">
        <v>369</v>
      </c>
      <c r="B352">
        <v>16</v>
      </c>
      <c r="C352" t="s">
        <v>14</v>
      </c>
      <c r="D352">
        <v>7.3</v>
      </c>
      <c r="E352">
        <v>5</v>
      </c>
      <c r="F352">
        <v>9</v>
      </c>
      <c r="G352">
        <v>0</v>
      </c>
      <c r="H352">
        <v>2</v>
      </c>
      <c r="I352" t="s">
        <v>26</v>
      </c>
      <c r="J352">
        <v>8</v>
      </c>
      <c r="K352" t="str">
        <f t="shared" si="5"/>
        <v>15–25</v>
      </c>
      <c r="L352" t="str">
        <f>IF(Table1[[#This Row],[Daily_Screen_Time(hrs)]]&lt;=3,"Low",IF(Table1[[#This Row],[Daily_Screen_Time(hrs)]]&lt;=6,"Medium","High"))</f>
        <v>High</v>
      </c>
      <c r="M352" t="str">
        <f>IF(Table1[[#This Row],[Stress_Level(1-10)]]&lt;=4,"Low",IF(Table1[[#This Row],[Stress_Level(1-10)]]&lt;=7,"Medium","High"))</f>
        <v>High</v>
      </c>
      <c r="N352" t="str">
        <f>IF(Table1[[#This Row],[Happiness_Index(1-10)]]&lt;=4,"Low",IF(Table1[[#This Row],[Happiness_Index(1-10)]]&lt;=7,"Normal","High"))</f>
        <v>High</v>
      </c>
    </row>
    <row r="353" spans="1:14" x14ac:dyDescent="0.25">
      <c r="A353" t="s">
        <v>370</v>
      </c>
      <c r="B353">
        <v>20</v>
      </c>
      <c r="C353" t="s">
        <v>19</v>
      </c>
      <c r="D353">
        <v>5</v>
      </c>
      <c r="E353">
        <v>6</v>
      </c>
      <c r="F353">
        <v>5</v>
      </c>
      <c r="G353">
        <v>3</v>
      </c>
      <c r="H353">
        <v>3</v>
      </c>
      <c r="I353" t="s">
        <v>17</v>
      </c>
      <c r="J353">
        <v>9</v>
      </c>
      <c r="K353" t="str">
        <f t="shared" si="5"/>
        <v>15–25</v>
      </c>
      <c r="L353" t="str">
        <f>IF(Table1[[#This Row],[Daily_Screen_Time(hrs)]]&lt;=3,"Low",IF(Table1[[#This Row],[Daily_Screen_Time(hrs)]]&lt;=6,"Medium","High"))</f>
        <v>Medium</v>
      </c>
      <c r="M353" t="str">
        <f>IF(Table1[[#This Row],[Stress_Level(1-10)]]&lt;=4,"Low",IF(Table1[[#This Row],[Stress_Level(1-10)]]&lt;=7,"Medium","High"))</f>
        <v>Medium</v>
      </c>
      <c r="N353" t="str">
        <f>IF(Table1[[#This Row],[Happiness_Index(1-10)]]&lt;=4,"Low",IF(Table1[[#This Row],[Happiness_Index(1-10)]]&lt;=7,"Normal","High"))</f>
        <v>High</v>
      </c>
    </row>
    <row r="354" spans="1:14" x14ac:dyDescent="0.25">
      <c r="A354" t="s">
        <v>371</v>
      </c>
      <c r="B354">
        <v>19</v>
      </c>
      <c r="C354" t="s">
        <v>19</v>
      </c>
      <c r="D354">
        <v>6.1</v>
      </c>
      <c r="E354">
        <v>6</v>
      </c>
      <c r="F354">
        <v>8</v>
      </c>
      <c r="G354">
        <v>3</v>
      </c>
      <c r="H354">
        <v>3</v>
      </c>
      <c r="I354" t="s">
        <v>22</v>
      </c>
      <c r="J354">
        <v>9</v>
      </c>
      <c r="K354" t="str">
        <f t="shared" si="5"/>
        <v>15–25</v>
      </c>
      <c r="L354" t="str">
        <f>IF(Table1[[#This Row],[Daily_Screen_Time(hrs)]]&lt;=3,"Low",IF(Table1[[#This Row],[Daily_Screen_Time(hrs)]]&lt;=6,"Medium","High"))</f>
        <v>High</v>
      </c>
      <c r="M354" t="str">
        <f>IF(Table1[[#This Row],[Stress_Level(1-10)]]&lt;=4,"Low",IF(Table1[[#This Row],[Stress_Level(1-10)]]&lt;=7,"Medium","High"))</f>
        <v>High</v>
      </c>
      <c r="N354" t="str">
        <f>IF(Table1[[#This Row],[Happiness_Index(1-10)]]&lt;=4,"Low",IF(Table1[[#This Row],[Happiness_Index(1-10)]]&lt;=7,"Normal","High"))</f>
        <v>High</v>
      </c>
    </row>
    <row r="355" spans="1:14" x14ac:dyDescent="0.25">
      <c r="A355" t="s">
        <v>372</v>
      </c>
      <c r="B355">
        <v>31</v>
      </c>
      <c r="C355" t="s">
        <v>11</v>
      </c>
      <c r="D355">
        <v>8.1</v>
      </c>
      <c r="E355">
        <v>5</v>
      </c>
      <c r="F355">
        <v>9</v>
      </c>
      <c r="G355">
        <v>2</v>
      </c>
      <c r="H355">
        <v>2</v>
      </c>
      <c r="I355" t="s">
        <v>26</v>
      </c>
      <c r="J355">
        <v>6</v>
      </c>
      <c r="K355" t="str">
        <f t="shared" si="5"/>
        <v>26–35</v>
      </c>
      <c r="L355" t="str">
        <f>IF(Table1[[#This Row],[Daily_Screen_Time(hrs)]]&lt;=3,"Low",IF(Table1[[#This Row],[Daily_Screen_Time(hrs)]]&lt;=6,"Medium","High"))</f>
        <v>High</v>
      </c>
      <c r="M355" t="str">
        <f>IF(Table1[[#This Row],[Stress_Level(1-10)]]&lt;=4,"Low",IF(Table1[[#This Row],[Stress_Level(1-10)]]&lt;=7,"Medium","High"))</f>
        <v>High</v>
      </c>
      <c r="N355" t="str">
        <f>IF(Table1[[#This Row],[Happiness_Index(1-10)]]&lt;=4,"Low",IF(Table1[[#This Row],[Happiness_Index(1-10)]]&lt;=7,"Normal","High"))</f>
        <v>Normal</v>
      </c>
    </row>
    <row r="356" spans="1:14" x14ac:dyDescent="0.25">
      <c r="A356" t="s">
        <v>373</v>
      </c>
      <c r="B356">
        <v>39</v>
      </c>
      <c r="C356" t="s">
        <v>19</v>
      </c>
      <c r="D356">
        <v>6.5</v>
      </c>
      <c r="E356">
        <v>5</v>
      </c>
      <c r="F356">
        <v>5</v>
      </c>
      <c r="G356">
        <v>5</v>
      </c>
      <c r="H356">
        <v>0</v>
      </c>
      <c r="I356" t="s">
        <v>26</v>
      </c>
      <c r="J356">
        <v>10</v>
      </c>
      <c r="K356" t="str">
        <f t="shared" si="5"/>
        <v>36–45</v>
      </c>
      <c r="L356" t="str">
        <f>IF(Table1[[#This Row],[Daily_Screen_Time(hrs)]]&lt;=3,"Low",IF(Table1[[#This Row],[Daily_Screen_Time(hrs)]]&lt;=6,"Medium","High"))</f>
        <v>High</v>
      </c>
      <c r="M356" t="str">
        <f>IF(Table1[[#This Row],[Stress_Level(1-10)]]&lt;=4,"Low",IF(Table1[[#This Row],[Stress_Level(1-10)]]&lt;=7,"Medium","High"))</f>
        <v>Medium</v>
      </c>
      <c r="N356" t="str">
        <f>IF(Table1[[#This Row],[Happiness_Index(1-10)]]&lt;=4,"Low",IF(Table1[[#This Row],[Happiness_Index(1-10)]]&lt;=7,"Normal","High"))</f>
        <v>High</v>
      </c>
    </row>
    <row r="357" spans="1:14" x14ac:dyDescent="0.25">
      <c r="A357" t="s">
        <v>374</v>
      </c>
      <c r="B357">
        <v>31</v>
      </c>
      <c r="C357" t="s">
        <v>11</v>
      </c>
      <c r="D357">
        <v>6.1</v>
      </c>
      <c r="E357">
        <v>6</v>
      </c>
      <c r="F357">
        <v>6</v>
      </c>
      <c r="G357">
        <v>2</v>
      </c>
      <c r="H357">
        <v>2</v>
      </c>
      <c r="I357" t="s">
        <v>22</v>
      </c>
      <c r="J357">
        <v>8</v>
      </c>
      <c r="K357" t="str">
        <f t="shared" si="5"/>
        <v>26–35</v>
      </c>
      <c r="L357" t="str">
        <f>IF(Table1[[#This Row],[Daily_Screen_Time(hrs)]]&lt;=3,"Low",IF(Table1[[#This Row],[Daily_Screen_Time(hrs)]]&lt;=6,"Medium","High"))</f>
        <v>High</v>
      </c>
      <c r="M357" t="str">
        <f>IF(Table1[[#This Row],[Stress_Level(1-10)]]&lt;=4,"Low",IF(Table1[[#This Row],[Stress_Level(1-10)]]&lt;=7,"Medium","High"))</f>
        <v>Medium</v>
      </c>
      <c r="N357" t="str">
        <f>IF(Table1[[#This Row],[Happiness_Index(1-10)]]&lt;=4,"Low",IF(Table1[[#This Row],[Happiness_Index(1-10)]]&lt;=7,"Normal","High"))</f>
        <v>High</v>
      </c>
    </row>
    <row r="358" spans="1:14" x14ac:dyDescent="0.25">
      <c r="A358" t="s">
        <v>375</v>
      </c>
      <c r="B358">
        <v>17</v>
      </c>
      <c r="C358" t="s">
        <v>19</v>
      </c>
      <c r="D358">
        <v>2.5</v>
      </c>
      <c r="E358">
        <v>9</v>
      </c>
      <c r="F358">
        <v>4</v>
      </c>
      <c r="G358">
        <v>5</v>
      </c>
      <c r="H358">
        <v>4</v>
      </c>
      <c r="I358" t="s">
        <v>17</v>
      </c>
      <c r="J358">
        <v>10</v>
      </c>
      <c r="K358" t="str">
        <f t="shared" si="5"/>
        <v>15–25</v>
      </c>
      <c r="L358" t="str">
        <f>IF(Table1[[#This Row],[Daily_Screen_Time(hrs)]]&lt;=3,"Low",IF(Table1[[#This Row],[Daily_Screen_Time(hrs)]]&lt;=6,"Medium","High"))</f>
        <v>Low</v>
      </c>
      <c r="M358" t="str">
        <f>IF(Table1[[#This Row],[Stress_Level(1-10)]]&lt;=4,"Low",IF(Table1[[#This Row],[Stress_Level(1-10)]]&lt;=7,"Medium","High"))</f>
        <v>Low</v>
      </c>
      <c r="N358" t="str">
        <f>IF(Table1[[#This Row],[Happiness_Index(1-10)]]&lt;=4,"Low",IF(Table1[[#This Row],[Happiness_Index(1-10)]]&lt;=7,"Normal","High"))</f>
        <v>High</v>
      </c>
    </row>
    <row r="359" spans="1:14" x14ac:dyDescent="0.25">
      <c r="A359" t="s">
        <v>376</v>
      </c>
      <c r="B359">
        <v>43</v>
      </c>
      <c r="C359" t="s">
        <v>11</v>
      </c>
      <c r="D359">
        <v>3.8</v>
      </c>
      <c r="E359">
        <v>8</v>
      </c>
      <c r="F359">
        <v>5</v>
      </c>
      <c r="G359">
        <v>4</v>
      </c>
      <c r="H359">
        <v>1</v>
      </c>
      <c r="I359" t="s">
        <v>15</v>
      </c>
      <c r="J359">
        <v>10</v>
      </c>
      <c r="K359" t="str">
        <f t="shared" si="5"/>
        <v>36–45</v>
      </c>
      <c r="L359" t="str">
        <f>IF(Table1[[#This Row],[Daily_Screen_Time(hrs)]]&lt;=3,"Low",IF(Table1[[#This Row],[Daily_Screen_Time(hrs)]]&lt;=6,"Medium","High"))</f>
        <v>Medium</v>
      </c>
      <c r="M359" t="str">
        <f>IF(Table1[[#This Row],[Stress_Level(1-10)]]&lt;=4,"Low",IF(Table1[[#This Row],[Stress_Level(1-10)]]&lt;=7,"Medium","High"))</f>
        <v>Medium</v>
      </c>
      <c r="N359" t="str">
        <f>IF(Table1[[#This Row],[Happiness_Index(1-10)]]&lt;=4,"Low",IF(Table1[[#This Row],[Happiness_Index(1-10)]]&lt;=7,"Normal","High"))</f>
        <v>High</v>
      </c>
    </row>
    <row r="360" spans="1:14" x14ac:dyDescent="0.25">
      <c r="A360" t="s">
        <v>377</v>
      </c>
      <c r="B360">
        <v>47</v>
      </c>
      <c r="C360" t="s">
        <v>11</v>
      </c>
      <c r="D360">
        <v>7.4</v>
      </c>
      <c r="E360">
        <v>6</v>
      </c>
      <c r="F360">
        <v>7</v>
      </c>
      <c r="G360">
        <v>5</v>
      </c>
      <c r="H360">
        <v>2</v>
      </c>
      <c r="I360" t="s">
        <v>15</v>
      </c>
      <c r="J360">
        <v>7</v>
      </c>
      <c r="K360" t="str">
        <f t="shared" si="5"/>
        <v>46+</v>
      </c>
      <c r="L360" t="str">
        <f>IF(Table1[[#This Row],[Daily_Screen_Time(hrs)]]&lt;=3,"Low",IF(Table1[[#This Row],[Daily_Screen_Time(hrs)]]&lt;=6,"Medium","High"))</f>
        <v>High</v>
      </c>
      <c r="M360" t="str">
        <f>IF(Table1[[#This Row],[Stress_Level(1-10)]]&lt;=4,"Low",IF(Table1[[#This Row],[Stress_Level(1-10)]]&lt;=7,"Medium","High"))</f>
        <v>Medium</v>
      </c>
      <c r="N360" t="str">
        <f>IF(Table1[[#This Row],[Happiness_Index(1-10)]]&lt;=4,"Low",IF(Table1[[#This Row],[Happiness_Index(1-10)]]&lt;=7,"Normal","High"))</f>
        <v>Normal</v>
      </c>
    </row>
    <row r="361" spans="1:14" x14ac:dyDescent="0.25">
      <c r="A361" t="s">
        <v>378</v>
      </c>
      <c r="B361">
        <v>42</v>
      </c>
      <c r="C361" t="s">
        <v>11</v>
      </c>
      <c r="D361">
        <v>6.5</v>
      </c>
      <c r="E361">
        <v>5</v>
      </c>
      <c r="F361">
        <v>7</v>
      </c>
      <c r="G361">
        <v>1</v>
      </c>
      <c r="H361">
        <v>2</v>
      </c>
      <c r="I361" t="s">
        <v>26</v>
      </c>
      <c r="J361">
        <v>8</v>
      </c>
      <c r="K361" t="str">
        <f t="shared" si="5"/>
        <v>36–45</v>
      </c>
      <c r="L361" t="str">
        <f>IF(Table1[[#This Row],[Daily_Screen_Time(hrs)]]&lt;=3,"Low",IF(Table1[[#This Row],[Daily_Screen_Time(hrs)]]&lt;=6,"Medium","High"))</f>
        <v>High</v>
      </c>
      <c r="M361" t="str">
        <f>IF(Table1[[#This Row],[Stress_Level(1-10)]]&lt;=4,"Low",IF(Table1[[#This Row],[Stress_Level(1-10)]]&lt;=7,"Medium","High"))</f>
        <v>Medium</v>
      </c>
      <c r="N361" t="str">
        <f>IF(Table1[[#This Row],[Happiness_Index(1-10)]]&lt;=4,"Low",IF(Table1[[#This Row],[Happiness_Index(1-10)]]&lt;=7,"Normal","High"))</f>
        <v>High</v>
      </c>
    </row>
    <row r="362" spans="1:14" x14ac:dyDescent="0.25">
      <c r="A362" t="s">
        <v>379</v>
      </c>
      <c r="B362">
        <v>35</v>
      </c>
      <c r="C362" t="s">
        <v>19</v>
      </c>
      <c r="D362">
        <v>6.8</v>
      </c>
      <c r="E362">
        <v>4</v>
      </c>
      <c r="F362">
        <v>9</v>
      </c>
      <c r="G362">
        <v>3</v>
      </c>
      <c r="H362">
        <v>0</v>
      </c>
      <c r="I362" t="s">
        <v>22</v>
      </c>
      <c r="J362">
        <v>7</v>
      </c>
      <c r="K362" t="str">
        <f t="shared" si="5"/>
        <v>26–35</v>
      </c>
      <c r="L362" t="str">
        <f>IF(Table1[[#This Row],[Daily_Screen_Time(hrs)]]&lt;=3,"Low",IF(Table1[[#This Row],[Daily_Screen_Time(hrs)]]&lt;=6,"Medium","High"))</f>
        <v>High</v>
      </c>
      <c r="M362" t="str">
        <f>IF(Table1[[#This Row],[Stress_Level(1-10)]]&lt;=4,"Low",IF(Table1[[#This Row],[Stress_Level(1-10)]]&lt;=7,"Medium","High"))</f>
        <v>High</v>
      </c>
      <c r="N362" t="str">
        <f>IF(Table1[[#This Row],[Happiness_Index(1-10)]]&lt;=4,"Low",IF(Table1[[#This Row],[Happiness_Index(1-10)]]&lt;=7,"Normal","High"))</f>
        <v>Normal</v>
      </c>
    </row>
    <row r="363" spans="1:14" x14ac:dyDescent="0.25">
      <c r="A363" t="s">
        <v>380</v>
      </c>
      <c r="B363">
        <v>39</v>
      </c>
      <c r="C363" t="s">
        <v>19</v>
      </c>
      <c r="D363">
        <v>6.6</v>
      </c>
      <c r="E363">
        <v>6</v>
      </c>
      <c r="F363">
        <v>7</v>
      </c>
      <c r="G363">
        <v>3</v>
      </c>
      <c r="H363">
        <v>1</v>
      </c>
      <c r="I363" t="s">
        <v>26</v>
      </c>
      <c r="J363">
        <v>7</v>
      </c>
      <c r="K363" t="str">
        <f t="shared" si="5"/>
        <v>36–45</v>
      </c>
      <c r="L363" t="str">
        <f>IF(Table1[[#This Row],[Daily_Screen_Time(hrs)]]&lt;=3,"Low",IF(Table1[[#This Row],[Daily_Screen_Time(hrs)]]&lt;=6,"Medium","High"))</f>
        <v>High</v>
      </c>
      <c r="M363" t="str">
        <f>IF(Table1[[#This Row],[Stress_Level(1-10)]]&lt;=4,"Low",IF(Table1[[#This Row],[Stress_Level(1-10)]]&lt;=7,"Medium","High"))</f>
        <v>Medium</v>
      </c>
      <c r="N363" t="str">
        <f>IF(Table1[[#This Row],[Happiness_Index(1-10)]]&lt;=4,"Low",IF(Table1[[#This Row],[Happiness_Index(1-10)]]&lt;=7,"Normal","High"))</f>
        <v>Normal</v>
      </c>
    </row>
    <row r="364" spans="1:14" x14ac:dyDescent="0.25">
      <c r="A364" t="s">
        <v>381</v>
      </c>
      <c r="B364">
        <v>27</v>
      </c>
      <c r="C364" t="s">
        <v>11</v>
      </c>
      <c r="D364">
        <v>7.8</v>
      </c>
      <c r="E364">
        <v>5</v>
      </c>
      <c r="F364">
        <v>8</v>
      </c>
      <c r="G364">
        <v>0</v>
      </c>
      <c r="H364">
        <v>4</v>
      </c>
      <c r="I364" t="s">
        <v>20</v>
      </c>
      <c r="J364">
        <v>6</v>
      </c>
      <c r="K364" t="str">
        <f t="shared" si="5"/>
        <v>26–35</v>
      </c>
      <c r="L364" t="str">
        <f>IF(Table1[[#This Row],[Daily_Screen_Time(hrs)]]&lt;=3,"Low",IF(Table1[[#This Row],[Daily_Screen_Time(hrs)]]&lt;=6,"Medium","High"))</f>
        <v>High</v>
      </c>
      <c r="M364" t="str">
        <f>IF(Table1[[#This Row],[Stress_Level(1-10)]]&lt;=4,"Low",IF(Table1[[#This Row],[Stress_Level(1-10)]]&lt;=7,"Medium","High"))</f>
        <v>High</v>
      </c>
      <c r="N364" t="str">
        <f>IF(Table1[[#This Row],[Happiness_Index(1-10)]]&lt;=4,"Low",IF(Table1[[#This Row],[Happiness_Index(1-10)]]&lt;=7,"Normal","High"))</f>
        <v>Normal</v>
      </c>
    </row>
    <row r="365" spans="1:14" x14ac:dyDescent="0.25">
      <c r="A365" t="s">
        <v>382</v>
      </c>
      <c r="B365">
        <v>48</v>
      </c>
      <c r="C365" t="s">
        <v>19</v>
      </c>
      <c r="D365">
        <v>5</v>
      </c>
      <c r="E365">
        <v>8</v>
      </c>
      <c r="F365">
        <v>6</v>
      </c>
      <c r="G365">
        <v>5</v>
      </c>
      <c r="H365">
        <v>0</v>
      </c>
      <c r="I365" t="s">
        <v>15</v>
      </c>
      <c r="J365">
        <v>10</v>
      </c>
      <c r="K365" t="str">
        <f t="shared" si="5"/>
        <v>46+</v>
      </c>
      <c r="L365" t="str">
        <f>IF(Table1[[#This Row],[Daily_Screen_Time(hrs)]]&lt;=3,"Low",IF(Table1[[#This Row],[Daily_Screen_Time(hrs)]]&lt;=6,"Medium","High"))</f>
        <v>Medium</v>
      </c>
      <c r="M365" t="str">
        <f>IF(Table1[[#This Row],[Stress_Level(1-10)]]&lt;=4,"Low",IF(Table1[[#This Row],[Stress_Level(1-10)]]&lt;=7,"Medium","High"))</f>
        <v>Medium</v>
      </c>
      <c r="N365" t="str">
        <f>IF(Table1[[#This Row],[Happiness_Index(1-10)]]&lt;=4,"Low",IF(Table1[[#This Row],[Happiness_Index(1-10)]]&lt;=7,"Normal","High"))</f>
        <v>High</v>
      </c>
    </row>
    <row r="366" spans="1:14" x14ac:dyDescent="0.25">
      <c r="A366" t="s">
        <v>383</v>
      </c>
      <c r="B366">
        <v>48</v>
      </c>
      <c r="C366" t="s">
        <v>11</v>
      </c>
      <c r="D366">
        <v>5.7</v>
      </c>
      <c r="E366">
        <v>7</v>
      </c>
      <c r="F366">
        <v>7</v>
      </c>
      <c r="G366">
        <v>1</v>
      </c>
      <c r="H366">
        <v>3</v>
      </c>
      <c r="I366" t="s">
        <v>12</v>
      </c>
      <c r="J366">
        <v>9</v>
      </c>
      <c r="K366" t="str">
        <f t="shared" si="5"/>
        <v>46+</v>
      </c>
      <c r="L366" t="str">
        <f>IF(Table1[[#This Row],[Daily_Screen_Time(hrs)]]&lt;=3,"Low",IF(Table1[[#This Row],[Daily_Screen_Time(hrs)]]&lt;=6,"Medium","High"))</f>
        <v>Medium</v>
      </c>
      <c r="M366" t="str">
        <f>IF(Table1[[#This Row],[Stress_Level(1-10)]]&lt;=4,"Low",IF(Table1[[#This Row],[Stress_Level(1-10)]]&lt;=7,"Medium","High"))</f>
        <v>Medium</v>
      </c>
      <c r="N366" t="str">
        <f>IF(Table1[[#This Row],[Happiness_Index(1-10)]]&lt;=4,"Low",IF(Table1[[#This Row],[Happiness_Index(1-10)]]&lt;=7,"Normal","High"))</f>
        <v>High</v>
      </c>
    </row>
    <row r="367" spans="1:14" x14ac:dyDescent="0.25">
      <c r="A367" t="s">
        <v>384</v>
      </c>
      <c r="B367">
        <v>27</v>
      </c>
      <c r="C367" t="s">
        <v>19</v>
      </c>
      <c r="D367">
        <v>3.6</v>
      </c>
      <c r="E367">
        <v>8</v>
      </c>
      <c r="F367">
        <v>5</v>
      </c>
      <c r="G367">
        <v>2</v>
      </c>
      <c r="H367">
        <v>1</v>
      </c>
      <c r="I367" t="s">
        <v>20</v>
      </c>
      <c r="J367">
        <v>10</v>
      </c>
      <c r="K367" t="str">
        <f t="shared" si="5"/>
        <v>26–35</v>
      </c>
      <c r="L367" t="str">
        <f>IF(Table1[[#This Row],[Daily_Screen_Time(hrs)]]&lt;=3,"Low",IF(Table1[[#This Row],[Daily_Screen_Time(hrs)]]&lt;=6,"Medium","High"))</f>
        <v>Medium</v>
      </c>
      <c r="M367" t="str">
        <f>IF(Table1[[#This Row],[Stress_Level(1-10)]]&lt;=4,"Low",IF(Table1[[#This Row],[Stress_Level(1-10)]]&lt;=7,"Medium","High"))</f>
        <v>Medium</v>
      </c>
      <c r="N367" t="str">
        <f>IF(Table1[[#This Row],[Happiness_Index(1-10)]]&lt;=4,"Low",IF(Table1[[#This Row],[Happiness_Index(1-10)]]&lt;=7,"Normal","High"))</f>
        <v>High</v>
      </c>
    </row>
    <row r="368" spans="1:14" x14ac:dyDescent="0.25">
      <c r="A368" t="s">
        <v>385</v>
      </c>
      <c r="B368">
        <v>18</v>
      </c>
      <c r="C368" t="s">
        <v>11</v>
      </c>
      <c r="D368">
        <v>3.2</v>
      </c>
      <c r="E368">
        <v>9</v>
      </c>
      <c r="F368">
        <v>5</v>
      </c>
      <c r="G368">
        <v>1</v>
      </c>
      <c r="H368">
        <v>3</v>
      </c>
      <c r="I368" t="s">
        <v>26</v>
      </c>
      <c r="J368">
        <v>10</v>
      </c>
      <c r="K368" t="str">
        <f t="shared" si="5"/>
        <v>15–25</v>
      </c>
      <c r="L368" t="str">
        <f>IF(Table1[[#This Row],[Daily_Screen_Time(hrs)]]&lt;=3,"Low",IF(Table1[[#This Row],[Daily_Screen_Time(hrs)]]&lt;=6,"Medium","High"))</f>
        <v>Medium</v>
      </c>
      <c r="M368" t="str">
        <f>IF(Table1[[#This Row],[Stress_Level(1-10)]]&lt;=4,"Low",IF(Table1[[#This Row],[Stress_Level(1-10)]]&lt;=7,"Medium","High"))</f>
        <v>Medium</v>
      </c>
      <c r="N368" t="str">
        <f>IF(Table1[[#This Row],[Happiness_Index(1-10)]]&lt;=4,"Low",IF(Table1[[#This Row],[Happiness_Index(1-10)]]&lt;=7,"Normal","High"))</f>
        <v>High</v>
      </c>
    </row>
    <row r="369" spans="1:14" x14ac:dyDescent="0.25">
      <c r="A369" t="s">
        <v>386</v>
      </c>
      <c r="B369">
        <v>16</v>
      </c>
      <c r="C369" t="s">
        <v>11</v>
      </c>
      <c r="D369">
        <v>2.5</v>
      </c>
      <c r="E369">
        <v>8</v>
      </c>
      <c r="F369">
        <v>4</v>
      </c>
      <c r="G369">
        <v>4</v>
      </c>
      <c r="H369">
        <v>4</v>
      </c>
      <c r="I369" t="s">
        <v>17</v>
      </c>
      <c r="J369">
        <v>10</v>
      </c>
      <c r="K369" t="str">
        <f t="shared" si="5"/>
        <v>15–25</v>
      </c>
      <c r="L369" t="str">
        <f>IF(Table1[[#This Row],[Daily_Screen_Time(hrs)]]&lt;=3,"Low",IF(Table1[[#This Row],[Daily_Screen_Time(hrs)]]&lt;=6,"Medium","High"))</f>
        <v>Low</v>
      </c>
      <c r="M369" t="str">
        <f>IF(Table1[[#This Row],[Stress_Level(1-10)]]&lt;=4,"Low",IF(Table1[[#This Row],[Stress_Level(1-10)]]&lt;=7,"Medium","High"))</f>
        <v>Low</v>
      </c>
      <c r="N369" t="str">
        <f>IF(Table1[[#This Row],[Happiness_Index(1-10)]]&lt;=4,"Low",IF(Table1[[#This Row],[Happiness_Index(1-10)]]&lt;=7,"Normal","High"))</f>
        <v>High</v>
      </c>
    </row>
    <row r="370" spans="1:14" x14ac:dyDescent="0.25">
      <c r="A370" t="s">
        <v>387</v>
      </c>
      <c r="B370">
        <v>48</v>
      </c>
      <c r="C370" t="s">
        <v>19</v>
      </c>
      <c r="D370">
        <v>3.9</v>
      </c>
      <c r="E370">
        <v>6</v>
      </c>
      <c r="F370">
        <v>5</v>
      </c>
      <c r="G370">
        <v>0</v>
      </c>
      <c r="H370">
        <v>2</v>
      </c>
      <c r="I370" t="s">
        <v>15</v>
      </c>
      <c r="J370">
        <v>10</v>
      </c>
      <c r="K370" t="str">
        <f t="shared" si="5"/>
        <v>46+</v>
      </c>
      <c r="L370" t="str">
        <f>IF(Table1[[#This Row],[Daily_Screen_Time(hrs)]]&lt;=3,"Low",IF(Table1[[#This Row],[Daily_Screen_Time(hrs)]]&lt;=6,"Medium","High"))</f>
        <v>Medium</v>
      </c>
      <c r="M370" t="str">
        <f>IF(Table1[[#This Row],[Stress_Level(1-10)]]&lt;=4,"Low",IF(Table1[[#This Row],[Stress_Level(1-10)]]&lt;=7,"Medium","High"))</f>
        <v>Medium</v>
      </c>
      <c r="N370" t="str">
        <f>IF(Table1[[#This Row],[Happiness_Index(1-10)]]&lt;=4,"Low",IF(Table1[[#This Row],[Happiness_Index(1-10)]]&lt;=7,"Normal","High"))</f>
        <v>High</v>
      </c>
    </row>
    <row r="371" spans="1:14" x14ac:dyDescent="0.25">
      <c r="A371" t="s">
        <v>388</v>
      </c>
      <c r="B371">
        <v>25</v>
      </c>
      <c r="C371" t="s">
        <v>11</v>
      </c>
      <c r="D371">
        <v>8.3000000000000007</v>
      </c>
      <c r="E371">
        <v>5</v>
      </c>
      <c r="F371">
        <v>8</v>
      </c>
      <c r="G371">
        <v>4</v>
      </c>
      <c r="H371">
        <v>2</v>
      </c>
      <c r="I371" t="s">
        <v>12</v>
      </c>
      <c r="J371">
        <v>7</v>
      </c>
      <c r="K371" t="str">
        <f t="shared" si="5"/>
        <v>15–25</v>
      </c>
      <c r="L371" t="str">
        <f>IF(Table1[[#This Row],[Daily_Screen_Time(hrs)]]&lt;=3,"Low",IF(Table1[[#This Row],[Daily_Screen_Time(hrs)]]&lt;=6,"Medium","High"))</f>
        <v>High</v>
      </c>
      <c r="M371" t="str">
        <f>IF(Table1[[#This Row],[Stress_Level(1-10)]]&lt;=4,"Low",IF(Table1[[#This Row],[Stress_Level(1-10)]]&lt;=7,"Medium","High"))</f>
        <v>High</v>
      </c>
      <c r="N371" t="str">
        <f>IF(Table1[[#This Row],[Happiness_Index(1-10)]]&lt;=4,"Low",IF(Table1[[#This Row],[Happiness_Index(1-10)]]&lt;=7,"Normal","High"))</f>
        <v>Normal</v>
      </c>
    </row>
    <row r="372" spans="1:14" x14ac:dyDescent="0.25">
      <c r="A372" t="s">
        <v>389</v>
      </c>
      <c r="B372">
        <v>44</v>
      </c>
      <c r="C372" t="s">
        <v>11</v>
      </c>
      <c r="D372">
        <v>2.7</v>
      </c>
      <c r="E372">
        <v>9</v>
      </c>
      <c r="F372">
        <v>5</v>
      </c>
      <c r="G372">
        <v>5</v>
      </c>
      <c r="H372">
        <v>1</v>
      </c>
      <c r="I372" t="s">
        <v>20</v>
      </c>
      <c r="J372">
        <v>10</v>
      </c>
      <c r="K372" t="str">
        <f t="shared" si="5"/>
        <v>36–45</v>
      </c>
      <c r="L372" t="str">
        <f>IF(Table1[[#This Row],[Daily_Screen_Time(hrs)]]&lt;=3,"Low",IF(Table1[[#This Row],[Daily_Screen_Time(hrs)]]&lt;=6,"Medium","High"))</f>
        <v>Low</v>
      </c>
      <c r="M372" t="str">
        <f>IF(Table1[[#This Row],[Stress_Level(1-10)]]&lt;=4,"Low",IF(Table1[[#This Row],[Stress_Level(1-10)]]&lt;=7,"Medium","High"))</f>
        <v>Medium</v>
      </c>
      <c r="N372" t="str">
        <f>IF(Table1[[#This Row],[Happiness_Index(1-10)]]&lt;=4,"Low",IF(Table1[[#This Row],[Happiness_Index(1-10)]]&lt;=7,"Normal","High"))</f>
        <v>High</v>
      </c>
    </row>
    <row r="373" spans="1:14" x14ac:dyDescent="0.25">
      <c r="A373" t="s">
        <v>390</v>
      </c>
      <c r="B373">
        <v>28</v>
      </c>
      <c r="C373" t="s">
        <v>19</v>
      </c>
      <c r="D373">
        <v>5</v>
      </c>
      <c r="E373">
        <v>7</v>
      </c>
      <c r="F373">
        <v>5</v>
      </c>
      <c r="G373">
        <v>4</v>
      </c>
      <c r="H373">
        <v>0</v>
      </c>
      <c r="I373" t="s">
        <v>15</v>
      </c>
      <c r="J373">
        <v>9</v>
      </c>
      <c r="K373" t="str">
        <f t="shared" si="5"/>
        <v>26–35</v>
      </c>
      <c r="L373" t="str">
        <f>IF(Table1[[#This Row],[Daily_Screen_Time(hrs)]]&lt;=3,"Low",IF(Table1[[#This Row],[Daily_Screen_Time(hrs)]]&lt;=6,"Medium","High"))</f>
        <v>Medium</v>
      </c>
      <c r="M373" t="str">
        <f>IF(Table1[[#This Row],[Stress_Level(1-10)]]&lt;=4,"Low",IF(Table1[[#This Row],[Stress_Level(1-10)]]&lt;=7,"Medium","High"))</f>
        <v>Medium</v>
      </c>
      <c r="N373" t="str">
        <f>IF(Table1[[#This Row],[Happiness_Index(1-10)]]&lt;=4,"Low",IF(Table1[[#This Row],[Happiness_Index(1-10)]]&lt;=7,"Normal","High"))</f>
        <v>High</v>
      </c>
    </row>
    <row r="374" spans="1:14" x14ac:dyDescent="0.25">
      <c r="A374" t="s">
        <v>391</v>
      </c>
      <c r="B374">
        <v>27</v>
      </c>
      <c r="C374" t="s">
        <v>14</v>
      </c>
      <c r="D374">
        <v>3.2</v>
      </c>
      <c r="E374">
        <v>9</v>
      </c>
      <c r="F374">
        <v>6</v>
      </c>
      <c r="G374">
        <v>4</v>
      </c>
      <c r="H374">
        <v>5</v>
      </c>
      <c r="I374" t="s">
        <v>22</v>
      </c>
      <c r="J374">
        <v>10</v>
      </c>
      <c r="K374" t="str">
        <f t="shared" si="5"/>
        <v>26–35</v>
      </c>
      <c r="L374" t="str">
        <f>IF(Table1[[#This Row],[Daily_Screen_Time(hrs)]]&lt;=3,"Low",IF(Table1[[#This Row],[Daily_Screen_Time(hrs)]]&lt;=6,"Medium","High"))</f>
        <v>Medium</v>
      </c>
      <c r="M374" t="str">
        <f>IF(Table1[[#This Row],[Stress_Level(1-10)]]&lt;=4,"Low",IF(Table1[[#This Row],[Stress_Level(1-10)]]&lt;=7,"Medium","High"))</f>
        <v>Medium</v>
      </c>
      <c r="N374" t="str">
        <f>IF(Table1[[#This Row],[Happiness_Index(1-10)]]&lt;=4,"Low",IF(Table1[[#This Row],[Happiness_Index(1-10)]]&lt;=7,"Normal","High"))</f>
        <v>High</v>
      </c>
    </row>
    <row r="375" spans="1:14" x14ac:dyDescent="0.25">
      <c r="A375" t="s">
        <v>392</v>
      </c>
      <c r="B375">
        <v>46</v>
      </c>
      <c r="C375" t="s">
        <v>11</v>
      </c>
      <c r="D375">
        <v>4.4000000000000004</v>
      </c>
      <c r="E375">
        <v>7</v>
      </c>
      <c r="F375">
        <v>7</v>
      </c>
      <c r="G375">
        <v>5</v>
      </c>
      <c r="H375">
        <v>1</v>
      </c>
      <c r="I375" t="s">
        <v>17</v>
      </c>
      <c r="J375">
        <v>8</v>
      </c>
      <c r="K375" t="str">
        <f t="shared" si="5"/>
        <v>46+</v>
      </c>
      <c r="L375" t="str">
        <f>IF(Table1[[#This Row],[Daily_Screen_Time(hrs)]]&lt;=3,"Low",IF(Table1[[#This Row],[Daily_Screen_Time(hrs)]]&lt;=6,"Medium","High"))</f>
        <v>Medium</v>
      </c>
      <c r="M375" t="str">
        <f>IF(Table1[[#This Row],[Stress_Level(1-10)]]&lt;=4,"Low",IF(Table1[[#This Row],[Stress_Level(1-10)]]&lt;=7,"Medium","High"))</f>
        <v>Medium</v>
      </c>
      <c r="N375" t="str">
        <f>IF(Table1[[#This Row],[Happiness_Index(1-10)]]&lt;=4,"Low",IF(Table1[[#This Row],[Happiness_Index(1-10)]]&lt;=7,"Normal","High"))</f>
        <v>High</v>
      </c>
    </row>
    <row r="376" spans="1:14" x14ac:dyDescent="0.25">
      <c r="A376" t="s">
        <v>393</v>
      </c>
      <c r="B376">
        <v>17</v>
      </c>
      <c r="C376" t="s">
        <v>11</v>
      </c>
      <c r="D376">
        <v>5.8</v>
      </c>
      <c r="E376">
        <v>6</v>
      </c>
      <c r="F376">
        <v>7</v>
      </c>
      <c r="G376">
        <v>1</v>
      </c>
      <c r="H376">
        <v>5</v>
      </c>
      <c r="I376" t="s">
        <v>20</v>
      </c>
      <c r="J376">
        <v>9</v>
      </c>
      <c r="K376" t="str">
        <f t="shared" si="5"/>
        <v>15–25</v>
      </c>
      <c r="L376" t="str">
        <f>IF(Table1[[#This Row],[Daily_Screen_Time(hrs)]]&lt;=3,"Low",IF(Table1[[#This Row],[Daily_Screen_Time(hrs)]]&lt;=6,"Medium","High"))</f>
        <v>Medium</v>
      </c>
      <c r="M376" t="str">
        <f>IF(Table1[[#This Row],[Stress_Level(1-10)]]&lt;=4,"Low",IF(Table1[[#This Row],[Stress_Level(1-10)]]&lt;=7,"Medium","High"))</f>
        <v>Medium</v>
      </c>
      <c r="N376" t="str">
        <f>IF(Table1[[#This Row],[Happiness_Index(1-10)]]&lt;=4,"Low",IF(Table1[[#This Row],[Happiness_Index(1-10)]]&lt;=7,"Normal","High"))</f>
        <v>High</v>
      </c>
    </row>
    <row r="377" spans="1:14" x14ac:dyDescent="0.25">
      <c r="A377" t="s">
        <v>394</v>
      </c>
      <c r="B377">
        <v>38</v>
      </c>
      <c r="C377" t="s">
        <v>19</v>
      </c>
      <c r="D377">
        <v>4.2</v>
      </c>
      <c r="E377">
        <v>8</v>
      </c>
      <c r="F377">
        <v>5</v>
      </c>
      <c r="G377">
        <v>6</v>
      </c>
      <c r="H377">
        <v>1</v>
      </c>
      <c r="I377" t="s">
        <v>22</v>
      </c>
      <c r="J377">
        <v>10</v>
      </c>
      <c r="K377" t="str">
        <f t="shared" si="5"/>
        <v>36–45</v>
      </c>
      <c r="L377" t="str">
        <f>IF(Table1[[#This Row],[Daily_Screen_Time(hrs)]]&lt;=3,"Low",IF(Table1[[#This Row],[Daily_Screen_Time(hrs)]]&lt;=6,"Medium","High"))</f>
        <v>Medium</v>
      </c>
      <c r="M377" t="str">
        <f>IF(Table1[[#This Row],[Stress_Level(1-10)]]&lt;=4,"Low",IF(Table1[[#This Row],[Stress_Level(1-10)]]&lt;=7,"Medium","High"))</f>
        <v>Medium</v>
      </c>
      <c r="N377" t="str">
        <f>IF(Table1[[#This Row],[Happiness_Index(1-10)]]&lt;=4,"Low",IF(Table1[[#This Row],[Happiness_Index(1-10)]]&lt;=7,"Normal","High"))</f>
        <v>High</v>
      </c>
    </row>
    <row r="378" spans="1:14" x14ac:dyDescent="0.25">
      <c r="A378" t="s">
        <v>395</v>
      </c>
      <c r="B378">
        <v>32</v>
      </c>
      <c r="C378" t="s">
        <v>11</v>
      </c>
      <c r="D378">
        <v>7.5</v>
      </c>
      <c r="E378">
        <v>4</v>
      </c>
      <c r="F378">
        <v>7</v>
      </c>
      <c r="G378">
        <v>2</v>
      </c>
      <c r="H378">
        <v>3</v>
      </c>
      <c r="I378" t="s">
        <v>26</v>
      </c>
      <c r="J378">
        <v>6</v>
      </c>
      <c r="K378" t="str">
        <f t="shared" si="5"/>
        <v>26–35</v>
      </c>
      <c r="L378" t="str">
        <f>IF(Table1[[#This Row],[Daily_Screen_Time(hrs)]]&lt;=3,"Low",IF(Table1[[#This Row],[Daily_Screen_Time(hrs)]]&lt;=6,"Medium","High"))</f>
        <v>High</v>
      </c>
      <c r="M378" t="str">
        <f>IF(Table1[[#This Row],[Stress_Level(1-10)]]&lt;=4,"Low",IF(Table1[[#This Row],[Stress_Level(1-10)]]&lt;=7,"Medium","High"))</f>
        <v>Medium</v>
      </c>
      <c r="N378" t="str">
        <f>IF(Table1[[#This Row],[Happiness_Index(1-10)]]&lt;=4,"Low",IF(Table1[[#This Row],[Happiness_Index(1-10)]]&lt;=7,"Normal","High"))</f>
        <v>Normal</v>
      </c>
    </row>
    <row r="379" spans="1:14" x14ac:dyDescent="0.25">
      <c r="A379" t="s">
        <v>396</v>
      </c>
      <c r="B379">
        <v>41</v>
      </c>
      <c r="C379" t="s">
        <v>11</v>
      </c>
      <c r="D379">
        <v>8.3000000000000007</v>
      </c>
      <c r="E379">
        <v>4</v>
      </c>
      <c r="F379">
        <v>10</v>
      </c>
      <c r="G379">
        <v>3</v>
      </c>
      <c r="H379">
        <v>1</v>
      </c>
      <c r="I379" t="s">
        <v>22</v>
      </c>
      <c r="J379">
        <v>6</v>
      </c>
      <c r="K379" t="str">
        <f t="shared" si="5"/>
        <v>36–45</v>
      </c>
      <c r="L379" t="str">
        <f>IF(Table1[[#This Row],[Daily_Screen_Time(hrs)]]&lt;=3,"Low",IF(Table1[[#This Row],[Daily_Screen_Time(hrs)]]&lt;=6,"Medium","High"))</f>
        <v>High</v>
      </c>
      <c r="M379" t="str">
        <f>IF(Table1[[#This Row],[Stress_Level(1-10)]]&lt;=4,"Low",IF(Table1[[#This Row],[Stress_Level(1-10)]]&lt;=7,"Medium","High"))</f>
        <v>High</v>
      </c>
      <c r="N379" t="str">
        <f>IF(Table1[[#This Row],[Happiness_Index(1-10)]]&lt;=4,"Low",IF(Table1[[#This Row],[Happiness_Index(1-10)]]&lt;=7,"Normal","High"))</f>
        <v>Normal</v>
      </c>
    </row>
    <row r="380" spans="1:14" x14ac:dyDescent="0.25">
      <c r="A380" t="s">
        <v>397</v>
      </c>
      <c r="B380">
        <v>23</v>
      </c>
      <c r="C380" t="s">
        <v>11</v>
      </c>
      <c r="D380">
        <v>1.5</v>
      </c>
      <c r="E380">
        <v>9</v>
      </c>
      <c r="F380">
        <v>3</v>
      </c>
      <c r="G380">
        <v>2</v>
      </c>
      <c r="H380">
        <v>3</v>
      </c>
      <c r="I380" t="s">
        <v>20</v>
      </c>
      <c r="J380">
        <v>10</v>
      </c>
      <c r="K380" t="str">
        <f t="shared" si="5"/>
        <v>15–25</v>
      </c>
      <c r="L380" t="str">
        <f>IF(Table1[[#This Row],[Daily_Screen_Time(hrs)]]&lt;=3,"Low",IF(Table1[[#This Row],[Daily_Screen_Time(hrs)]]&lt;=6,"Medium","High"))</f>
        <v>Low</v>
      </c>
      <c r="M380" t="str">
        <f>IF(Table1[[#This Row],[Stress_Level(1-10)]]&lt;=4,"Low",IF(Table1[[#This Row],[Stress_Level(1-10)]]&lt;=7,"Medium","High"))</f>
        <v>Low</v>
      </c>
      <c r="N380" t="str">
        <f>IF(Table1[[#This Row],[Happiness_Index(1-10)]]&lt;=4,"Low",IF(Table1[[#This Row],[Happiness_Index(1-10)]]&lt;=7,"Normal","High"))</f>
        <v>High</v>
      </c>
    </row>
    <row r="381" spans="1:14" x14ac:dyDescent="0.25">
      <c r="A381" t="s">
        <v>398</v>
      </c>
      <c r="B381">
        <v>44</v>
      </c>
      <c r="C381" t="s">
        <v>19</v>
      </c>
      <c r="D381">
        <v>4.3</v>
      </c>
      <c r="E381">
        <v>8</v>
      </c>
      <c r="F381">
        <v>7</v>
      </c>
      <c r="G381">
        <v>4</v>
      </c>
      <c r="H381">
        <v>2</v>
      </c>
      <c r="I381" t="s">
        <v>20</v>
      </c>
      <c r="J381">
        <v>10</v>
      </c>
      <c r="K381" t="str">
        <f t="shared" si="5"/>
        <v>36–45</v>
      </c>
      <c r="L381" t="str">
        <f>IF(Table1[[#This Row],[Daily_Screen_Time(hrs)]]&lt;=3,"Low",IF(Table1[[#This Row],[Daily_Screen_Time(hrs)]]&lt;=6,"Medium","High"))</f>
        <v>Medium</v>
      </c>
      <c r="M381" t="str">
        <f>IF(Table1[[#This Row],[Stress_Level(1-10)]]&lt;=4,"Low",IF(Table1[[#This Row],[Stress_Level(1-10)]]&lt;=7,"Medium","High"))</f>
        <v>Medium</v>
      </c>
      <c r="N381" t="str">
        <f>IF(Table1[[#This Row],[Happiness_Index(1-10)]]&lt;=4,"Low",IF(Table1[[#This Row],[Happiness_Index(1-10)]]&lt;=7,"Normal","High"))</f>
        <v>High</v>
      </c>
    </row>
    <row r="382" spans="1:14" x14ac:dyDescent="0.25">
      <c r="A382" t="s">
        <v>399</v>
      </c>
      <c r="B382">
        <v>41</v>
      </c>
      <c r="C382" t="s">
        <v>19</v>
      </c>
      <c r="D382">
        <v>5.6</v>
      </c>
      <c r="E382">
        <v>6</v>
      </c>
      <c r="F382">
        <v>7</v>
      </c>
      <c r="G382">
        <v>2</v>
      </c>
      <c r="H382">
        <v>2</v>
      </c>
      <c r="I382" t="s">
        <v>26</v>
      </c>
      <c r="J382">
        <v>9</v>
      </c>
      <c r="K382" t="str">
        <f t="shared" si="5"/>
        <v>36–45</v>
      </c>
      <c r="L382" t="str">
        <f>IF(Table1[[#This Row],[Daily_Screen_Time(hrs)]]&lt;=3,"Low",IF(Table1[[#This Row],[Daily_Screen_Time(hrs)]]&lt;=6,"Medium","High"))</f>
        <v>Medium</v>
      </c>
      <c r="M382" t="str">
        <f>IF(Table1[[#This Row],[Stress_Level(1-10)]]&lt;=4,"Low",IF(Table1[[#This Row],[Stress_Level(1-10)]]&lt;=7,"Medium","High"))</f>
        <v>Medium</v>
      </c>
      <c r="N382" t="str">
        <f>IF(Table1[[#This Row],[Happiness_Index(1-10)]]&lt;=4,"Low",IF(Table1[[#This Row],[Happiness_Index(1-10)]]&lt;=7,"Normal","High"))</f>
        <v>High</v>
      </c>
    </row>
    <row r="383" spans="1:14" x14ac:dyDescent="0.25">
      <c r="A383" t="s">
        <v>400</v>
      </c>
      <c r="B383">
        <v>25</v>
      </c>
      <c r="C383" t="s">
        <v>11</v>
      </c>
      <c r="D383">
        <v>7.5</v>
      </c>
      <c r="E383">
        <v>4</v>
      </c>
      <c r="F383">
        <v>8</v>
      </c>
      <c r="G383">
        <v>3</v>
      </c>
      <c r="H383">
        <v>3</v>
      </c>
      <c r="I383" t="s">
        <v>22</v>
      </c>
      <c r="J383">
        <v>7</v>
      </c>
      <c r="K383" t="str">
        <f t="shared" si="5"/>
        <v>15–25</v>
      </c>
      <c r="L383" t="str">
        <f>IF(Table1[[#This Row],[Daily_Screen_Time(hrs)]]&lt;=3,"Low",IF(Table1[[#This Row],[Daily_Screen_Time(hrs)]]&lt;=6,"Medium","High"))</f>
        <v>High</v>
      </c>
      <c r="M383" t="str">
        <f>IF(Table1[[#This Row],[Stress_Level(1-10)]]&lt;=4,"Low",IF(Table1[[#This Row],[Stress_Level(1-10)]]&lt;=7,"Medium","High"))</f>
        <v>High</v>
      </c>
      <c r="N383" t="str">
        <f>IF(Table1[[#This Row],[Happiness_Index(1-10)]]&lt;=4,"Low",IF(Table1[[#This Row],[Happiness_Index(1-10)]]&lt;=7,"Normal","High"))</f>
        <v>Normal</v>
      </c>
    </row>
    <row r="384" spans="1:14" x14ac:dyDescent="0.25">
      <c r="A384" t="s">
        <v>401</v>
      </c>
      <c r="B384">
        <v>41</v>
      </c>
      <c r="C384" t="s">
        <v>11</v>
      </c>
      <c r="D384">
        <v>4.7</v>
      </c>
      <c r="E384">
        <v>6</v>
      </c>
      <c r="F384">
        <v>6</v>
      </c>
      <c r="G384">
        <v>1</v>
      </c>
      <c r="H384">
        <v>2</v>
      </c>
      <c r="I384" t="s">
        <v>22</v>
      </c>
      <c r="J384">
        <v>9</v>
      </c>
      <c r="K384" t="str">
        <f t="shared" si="5"/>
        <v>36–45</v>
      </c>
      <c r="L384" t="str">
        <f>IF(Table1[[#This Row],[Daily_Screen_Time(hrs)]]&lt;=3,"Low",IF(Table1[[#This Row],[Daily_Screen_Time(hrs)]]&lt;=6,"Medium","High"))</f>
        <v>Medium</v>
      </c>
      <c r="M384" t="str">
        <f>IF(Table1[[#This Row],[Stress_Level(1-10)]]&lt;=4,"Low",IF(Table1[[#This Row],[Stress_Level(1-10)]]&lt;=7,"Medium","High"))</f>
        <v>Medium</v>
      </c>
      <c r="N384" t="str">
        <f>IF(Table1[[#This Row],[Happiness_Index(1-10)]]&lt;=4,"Low",IF(Table1[[#This Row],[Happiness_Index(1-10)]]&lt;=7,"Normal","High"))</f>
        <v>High</v>
      </c>
    </row>
    <row r="385" spans="1:14" x14ac:dyDescent="0.25">
      <c r="A385" t="s">
        <v>402</v>
      </c>
      <c r="B385">
        <v>49</v>
      </c>
      <c r="C385" t="s">
        <v>11</v>
      </c>
      <c r="D385">
        <v>5.5</v>
      </c>
      <c r="E385">
        <v>7</v>
      </c>
      <c r="F385">
        <v>5</v>
      </c>
      <c r="G385">
        <v>5</v>
      </c>
      <c r="H385">
        <v>0</v>
      </c>
      <c r="I385" t="s">
        <v>26</v>
      </c>
      <c r="J385">
        <v>10</v>
      </c>
      <c r="K385" t="str">
        <f t="shared" si="5"/>
        <v>46+</v>
      </c>
      <c r="L385" t="str">
        <f>IF(Table1[[#This Row],[Daily_Screen_Time(hrs)]]&lt;=3,"Low",IF(Table1[[#This Row],[Daily_Screen_Time(hrs)]]&lt;=6,"Medium","High"))</f>
        <v>Medium</v>
      </c>
      <c r="M385" t="str">
        <f>IF(Table1[[#This Row],[Stress_Level(1-10)]]&lt;=4,"Low",IF(Table1[[#This Row],[Stress_Level(1-10)]]&lt;=7,"Medium","High"))</f>
        <v>Medium</v>
      </c>
      <c r="N385" t="str">
        <f>IF(Table1[[#This Row],[Happiness_Index(1-10)]]&lt;=4,"Low",IF(Table1[[#This Row],[Happiness_Index(1-10)]]&lt;=7,"Normal","High"))</f>
        <v>High</v>
      </c>
    </row>
    <row r="386" spans="1:14" x14ac:dyDescent="0.25">
      <c r="A386" t="s">
        <v>403</v>
      </c>
      <c r="B386">
        <v>22</v>
      </c>
      <c r="C386" t="s">
        <v>19</v>
      </c>
      <c r="D386">
        <v>3.4</v>
      </c>
      <c r="E386">
        <v>8</v>
      </c>
      <c r="F386">
        <v>6</v>
      </c>
      <c r="G386">
        <v>4</v>
      </c>
      <c r="H386">
        <v>4</v>
      </c>
      <c r="I386" t="s">
        <v>22</v>
      </c>
      <c r="J386">
        <v>10</v>
      </c>
      <c r="K386" t="str">
        <f t="shared" ref="K386:K449" si="6">IF(B386&lt;=25,"15–25",IF(B386&lt;=35,"26–35",IF(B386&lt;=45,"36–45","46+")))</f>
        <v>15–25</v>
      </c>
      <c r="L386" t="str">
        <f>IF(Table1[[#This Row],[Daily_Screen_Time(hrs)]]&lt;=3,"Low",IF(Table1[[#This Row],[Daily_Screen_Time(hrs)]]&lt;=6,"Medium","High"))</f>
        <v>Medium</v>
      </c>
      <c r="M386" t="str">
        <f>IF(Table1[[#This Row],[Stress_Level(1-10)]]&lt;=4,"Low",IF(Table1[[#This Row],[Stress_Level(1-10)]]&lt;=7,"Medium","High"))</f>
        <v>Medium</v>
      </c>
      <c r="N386" t="str">
        <f>IF(Table1[[#This Row],[Happiness_Index(1-10)]]&lt;=4,"Low",IF(Table1[[#This Row],[Happiness_Index(1-10)]]&lt;=7,"Normal","High"))</f>
        <v>High</v>
      </c>
    </row>
    <row r="387" spans="1:14" x14ac:dyDescent="0.25">
      <c r="A387" t="s">
        <v>404</v>
      </c>
      <c r="B387">
        <v>19</v>
      </c>
      <c r="C387" t="s">
        <v>11</v>
      </c>
      <c r="D387">
        <v>2.7</v>
      </c>
      <c r="E387">
        <v>8</v>
      </c>
      <c r="F387">
        <v>5</v>
      </c>
      <c r="G387">
        <v>2</v>
      </c>
      <c r="H387">
        <v>1</v>
      </c>
      <c r="I387" t="s">
        <v>15</v>
      </c>
      <c r="J387">
        <v>9</v>
      </c>
      <c r="K387" t="str">
        <f t="shared" si="6"/>
        <v>15–25</v>
      </c>
      <c r="L387" t="str">
        <f>IF(Table1[[#This Row],[Daily_Screen_Time(hrs)]]&lt;=3,"Low",IF(Table1[[#This Row],[Daily_Screen_Time(hrs)]]&lt;=6,"Medium","High"))</f>
        <v>Low</v>
      </c>
      <c r="M387" t="str">
        <f>IF(Table1[[#This Row],[Stress_Level(1-10)]]&lt;=4,"Low",IF(Table1[[#This Row],[Stress_Level(1-10)]]&lt;=7,"Medium","High"))</f>
        <v>Medium</v>
      </c>
      <c r="N387" t="str">
        <f>IF(Table1[[#This Row],[Happiness_Index(1-10)]]&lt;=4,"Low",IF(Table1[[#This Row],[Happiness_Index(1-10)]]&lt;=7,"Normal","High"))</f>
        <v>High</v>
      </c>
    </row>
    <row r="388" spans="1:14" x14ac:dyDescent="0.25">
      <c r="A388" t="s">
        <v>405</v>
      </c>
      <c r="B388">
        <v>26</v>
      </c>
      <c r="C388" t="s">
        <v>11</v>
      </c>
      <c r="D388">
        <v>8.1</v>
      </c>
      <c r="E388">
        <v>5</v>
      </c>
      <c r="F388">
        <v>7</v>
      </c>
      <c r="G388">
        <v>2</v>
      </c>
      <c r="H388">
        <v>3</v>
      </c>
      <c r="I388" t="s">
        <v>26</v>
      </c>
      <c r="J388">
        <v>7</v>
      </c>
      <c r="K388" t="str">
        <f t="shared" si="6"/>
        <v>26–35</v>
      </c>
      <c r="L388" t="str">
        <f>IF(Table1[[#This Row],[Daily_Screen_Time(hrs)]]&lt;=3,"Low",IF(Table1[[#This Row],[Daily_Screen_Time(hrs)]]&lt;=6,"Medium","High"))</f>
        <v>High</v>
      </c>
      <c r="M388" t="str">
        <f>IF(Table1[[#This Row],[Stress_Level(1-10)]]&lt;=4,"Low",IF(Table1[[#This Row],[Stress_Level(1-10)]]&lt;=7,"Medium","High"))</f>
        <v>Medium</v>
      </c>
      <c r="N388" t="str">
        <f>IF(Table1[[#This Row],[Happiness_Index(1-10)]]&lt;=4,"Low",IF(Table1[[#This Row],[Happiness_Index(1-10)]]&lt;=7,"Normal","High"))</f>
        <v>Normal</v>
      </c>
    </row>
    <row r="389" spans="1:14" x14ac:dyDescent="0.25">
      <c r="A389" t="s">
        <v>406</v>
      </c>
      <c r="B389">
        <v>44</v>
      </c>
      <c r="C389" t="s">
        <v>19</v>
      </c>
      <c r="D389">
        <v>2.2000000000000002</v>
      </c>
      <c r="E389">
        <v>9</v>
      </c>
      <c r="F389">
        <v>4</v>
      </c>
      <c r="G389">
        <v>4</v>
      </c>
      <c r="H389">
        <v>4</v>
      </c>
      <c r="I389" t="s">
        <v>17</v>
      </c>
      <c r="J389">
        <v>10</v>
      </c>
      <c r="K389" t="str">
        <f t="shared" si="6"/>
        <v>36–45</v>
      </c>
      <c r="L389" t="str">
        <f>IF(Table1[[#This Row],[Daily_Screen_Time(hrs)]]&lt;=3,"Low",IF(Table1[[#This Row],[Daily_Screen_Time(hrs)]]&lt;=6,"Medium","High"))</f>
        <v>Low</v>
      </c>
      <c r="M389" t="str">
        <f>IF(Table1[[#This Row],[Stress_Level(1-10)]]&lt;=4,"Low",IF(Table1[[#This Row],[Stress_Level(1-10)]]&lt;=7,"Medium","High"))</f>
        <v>Low</v>
      </c>
      <c r="N389" t="str">
        <f>IF(Table1[[#This Row],[Happiness_Index(1-10)]]&lt;=4,"Low",IF(Table1[[#This Row],[Happiness_Index(1-10)]]&lt;=7,"Normal","High"))</f>
        <v>High</v>
      </c>
    </row>
    <row r="390" spans="1:14" x14ac:dyDescent="0.25">
      <c r="A390" t="s">
        <v>407</v>
      </c>
      <c r="B390">
        <v>40</v>
      </c>
      <c r="C390" t="s">
        <v>11</v>
      </c>
      <c r="D390">
        <v>9.6999999999999993</v>
      </c>
      <c r="E390">
        <v>4</v>
      </c>
      <c r="F390">
        <v>10</v>
      </c>
      <c r="G390">
        <v>2</v>
      </c>
      <c r="H390">
        <v>2</v>
      </c>
      <c r="I390" t="s">
        <v>20</v>
      </c>
      <c r="J390">
        <v>6</v>
      </c>
      <c r="K390" t="str">
        <f t="shared" si="6"/>
        <v>36–45</v>
      </c>
      <c r="L390" t="str">
        <f>IF(Table1[[#This Row],[Daily_Screen_Time(hrs)]]&lt;=3,"Low",IF(Table1[[#This Row],[Daily_Screen_Time(hrs)]]&lt;=6,"Medium","High"))</f>
        <v>High</v>
      </c>
      <c r="M390" t="str">
        <f>IF(Table1[[#This Row],[Stress_Level(1-10)]]&lt;=4,"Low",IF(Table1[[#This Row],[Stress_Level(1-10)]]&lt;=7,"Medium","High"))</f>
        <v>High</v>
      </c>
      <c r="N390" t="str">
        <f>IF(Table1[[#This Row],[Happiness_Index(1-10)]]&lt;=4,"Low",IF(Table1[[#This Row],[Happiness_Index(1-10)]]&lt;=7,"Normal","High"))</f>
        <v>Normal</v>
      </c>
    </row>
    <row r="391" spans="1:14" x14ac:dyDescent="0.25">
      <c r="A391" t="s">
        <v>408</v>
      </c>
      <c r="B391">
        <v>36</v>
      </c>
      <c r="C391" t="s">
        <v>19</v>
      </c>
      <c r="D391">
        <v>6.8</v>
      </c>
      <c r="E391">
        <v>5</v>
      </c>
      <c r="F391">
        <v>8</v>
      </c>
      <c r="G391">
        <v>3</v>
      </c>
      <c r="H391">
        <v>4</v>
      </c>
      <c r="I391" t="s">
        <v>17</v>
      </c>
      <c r="J391">
        <v>8</v>
      </c>
      <c r="K391" t="str">
        <f t="shared" si="6"/>
        <v>36–45</v>
      </c>
      <c r="L391" t="str">
        <f>IF(Table1[[#This Row],[Daily_Screen_Time(hrs)]]&lt;=3,"Low",IF(Table1[[#This Row],[Daily_Screen_Time(hrs)]]&lt;=6,"Medium","High"))</f>
        <v>High</v>
      </c>
      <c r="M391" t="str">
        <f>IF(Table1[[#This Row],[Stress_Level(1-10)]]&lt;=4,"Low",IF(Table1[[#This Row],[Stress_Level(1-10)]]&lt;=7,"Medium","High"))</f>
        <v>High</v>
      </c>
      <c r="N391" t="str">
        <f>IF(Table1[[#This Row],[Happiness_Index(1-10)]]&lt;=4,"Low",IF(Table1[[#This Row],[Happiness_Index(1-10)]]&lt;=7,"Normal","High"))</f>
        <v>High</v>
      </c>
    </row>
    <row r="392" spans="1:14" x14ac:dyDescent="0.25">
      <c r="A392" t="s">
        <v>409</v>
      </c>
      <c r="B392">
        <v>25</v>
      </c>
      <c r="C392" t="s">
        <v>11</v>
      </c>
      <c r="D392">
        <v>6.7</v>
      </c>
      <c r="E392">
        <v>7</v>
      </c>
      <c r="F392">
        <v>7</v>
      </c>
      <c r="G392">
        <v>5</v>
      </c>
      <c r="H392">
        <v>3</v>
      </c>
      <c r="I392" t="s">
        <v>15</v>
      </c>
      <c r="J392">
        <v>8</v>
      </c>
      <c r="K392" t="str">
        <f t="shared" si="6"/>
        <v>15–25</v>
      </c>
      <c r="L392" t="str">
        <f>IF(Table1[[#This Row],[Daily_Screen_Time(hrs)]]&lt;=3,"Low",IF(Table1[[#This Row],[Daily_Screen_Time(hrs)]]&lt;=6,"Medium","High"))</f>
        <v>High</v>
      </c>
      <c r="M392" t="str">
        <f>IF(Table1[[#This Row],[Stress_Level(1-10)]]&lt;=4,"Low",IF(Table1[[#This Row],[Stress_Level(1-10)]]&lt;=7,"Medium","High"))</f>
        <v>Medium</v>
      </c>
      <c r="N392" t="str">
        <f>IF(Table1[[#This Row],[Happiness_Index(1-10)]]&lt;=4,"Low",IF(Table1[[#This Row],[Happiness_Index(1-10)]]&lt;=7,"Normal","High"))</f>
        <v>High</v>
      </c>
    </row>
    <row r="393" spans="1:14" x14ac:dyDescent="0.25">
      <c r="A393" t="s">
        <v>410</v>
      </c>
      <c r="B393">
        <v>24</v>
      </c>
      <c r="C393" t="s">
        <v>11</v>
      </c>
      <c r="D393">
        <v>6.5</v>
      </c>
      <c r="E393">
        <v>7</v>
      </c>
      <c r="F393">
        <v>6</v>
      </c>
      <c r="G393">
        <v>1</v>
      </c>
      <c r="H393">
        <v>1</v>
      </c>
      <c r="I393" t="s">
        <v>15</v>
      </c>
      <c r="J393">
        <v>7</v>
      </c>
      <c r="K393" t="str">
        <f t="shared" si="6"/>
        <v>15–25</v>
      </c>
      <c r="L393" t="str">
        <f>IF(Table1[[#This Row],[Daily_Screen_Time(hrs)]]&lt;=3,"Low",IF(Table1[[#This Row],[Daily_Screen_Time(hrs)]]&lt;=6,"Medium","High"))</f>
        <v>High</v>
      </c>
      <c r="M393" t="str">
        <f>IF(Table1[[#This Row],[Stress_Level(1-10)]]&lt;=4,"Low",IF(Table1[[#This Row],[Stress_Level(1-10)]]&lt;=7,"Medium","High"))</f>
        <v>Medium</v>
      </c>
      <c r="N393" t="str">
        <f>IF(Table1[[#This Row],[Happiness_Index(1-10)]]&lt;=4,"Low",IF(Table1[[#This Row],[Happiness_Index(1-10)]]&lt;=7,"Normal","High"))</f>
        <v>Normal</v>
      </c>
    </row>
    <row r="394" spans="1:14" x14ac:dyDescent="0.25">
      <c r="A394" t="s">
        <v>411</v>
      </c>
      <c r="B394">
        <v>39</v>
      </c>
      <c r="C394" t="s">
        <v>11</v>
      </c>
      <c r="D394">
        <v>5</v>
      </c>
      <c r="E394">
        <v>5</v>
      </c>
      <c r="F394">
        <v>6</v>
      </c>
      <c r="G394">
        <v>4</v>
      </c>
      <c r="H394">
        <v>5</v>
      </c>
      <c r="I394" t="s">
        <v>12</v>
      </c>
      <c r="J394">
        <v>8</v>
      </c>
      <c r="K394" t="str">
        <f t="shared" si="6"/>
        <v>36–45</v>
      </c>
      <c r="L394" t="str">
        <f>IF(Table1[[#This Row],[Daily_Screen_Time(hrs)]]&lt;=3,"Low",IF(Table1[[#This Row],[Daily_Screen_Time(hrs)]]&lt;=6,"Medium","High"))</f>
        <v>Medium</v>
      </c>
      <c r="M394" t="str">
        <f>IF(Table1[[#This Row],[Stress_Level(1-10)]]&lt;=4,"Low",IF(Table1[[#This Row],[Stress_Level(1-10)]]&lt;=7,"Medium","High"))</f>
        <v>Medium</v>
      </c>
      <c r="N394" t="str">
        <f>IF(Table1[[#This Row],[Happiness_Index(1-10)]]&lt;=4,"Low",IF(Table1[[#This Row],[Happiness_Index(1-10)]]&lt;=7,"Normal","High"))</f>
        <v>High</v>
      </c>
    </row>
    <row r="395" spans="1:14" x14ac:dyDescent="0.25">
      <c r="A395" t="s">
        <v>412</v>
      </c>
      <c r="B395">
        <v>33</v>
      </c>
      <c r="C395" t="s">
        <v>19</v>
      </c>
      <c r="D395">
        <v>6.2</v>
      </c>
      <c r="E395">
        <v>6</v>
      </c>
      <c r="F395">
        <v>7</v>
      </c>
      <c r="G395">
        <v>4</v>
      </c>
      <c r="H395">
        <v>1</v>
      </c>
      <c r="I395" t="s">
        <v>12</v>
      </c>
      <c r="J395">
        <v>9</v>
      </c>
      <c r="K395" t="str">
        <f t="shared" si="6"/>
        <v>26–35</v>
      </c>
      <c r="L395" t="str">
        <f>IF(Table1[[#This Row],[Daily_Screen_Time(hrs)]]&lt;=3,"Low",IF(Table1[[#This Row],[Daily_Screen_Time(hrs)]]&lt;=6,"Medium","High"))</f>
        <v>High</v>
      </c>
      <c r="M395" t="str">
        <f>IF(Table1[[#This Row],[Stress_Level(1-10)]]&lt;=4,"Low",IF(Table1[[#This Row],[Stress_Level(1-10)]]&lt;=7,"Medium","High"))</f>
        <v>Medium</v>
      </c>
      <c r="N395" t="str">
        <f>IF(Table1[[#This Row],[Happiness_Index(1-10)]]&lt;=4,"Low",IF(Table1[[#This Row],[Happiness_Index(1-10)]]&lt;=7,"Normal","High"))</f>
        <v>High</v>
      </c>
    </row>
    <row r="396" spans="1:14" x14ac:dyDescent="0.25">
      <c r="A396" t="s">
        <v>413</v>
      </c>
      <c r="B396">
        <v>47</v>
      </c>
      <c r="C396" t="s">
        <v>19</v>
      </c>
      <c r="D396">
        <v>5.2</v>
      </c>
      <c r="E396">
        <v>7</v>
      </c>
      <c r="F396">
        <v>7</v>
      </c>
      <c r="G396">
        <v>3</v>
      </c>
      <c r="H396">
        <v>2</v>
      </c>
      <c r="I396" t="s">
        <v>12</v>
      </c>
      <c r="J396">
        <v>9</v>
      </c>
      <c r="K396" t="str">
        <f t="shared" si="6"/>
        <v>46+</v>
      </c>
      <c r="L396" t="str">
        <f>IF(Table1[[#This Row],[Daily_Screen_Time(hrs)]]&lt;=3,"Low",IF(Table1[[#This Row],[Daily_Screen_Time(hrs)]]&lt;=6,"Medium","High"))</f>
        <v>Medium</v>
      </c>
      <c r="M396" t="str">
        <f>IF(Table1[[#This Row],[Stress_Level(1-10)]]&lt;=4,"Low",IF(Table1[[#This Row],[Stress_Level(1-10)]]&lt;=7,"Medium","High"))</f>
        <v>Medium</v>
      </c>
      <c r="N396" t="str">
        <f>IF(Table1[[#This Row],[Happiness_Index(1-10)]]&lt;=4,"Low",IF(Table1[[#This Row],[Happiness_Index(1-10)]]&lt;=7,"Normal","High"))</f>
        <v>High</v>
      </c>
    </row>
    <row r="397" spans="1:14" x14ac:dyDescent="0.25">
      <c r="A397" t="s">
        <v>414</v>
      </c>
      <c r="B397">
        <v>39</v>
      </c>
      <c r="C397" t="s">
        <v>19</v>
      </c>
      <c r="D397">
        <v>6.5</v>
      </c>
      <c r="E397">
        <v>5</v>
      </c>
      <c r="F397">
        <v>7</v>
      </c>
      <c r="G397">
        <v>2</v>
      </c>
      <c r="H397">
        <v>2</v>
      </c>
      <c r="I397" t="s">
        <v>26</v>
      </c>
      <c r="J397">
        <v>8</v>
      </c>
      <c r="K397" t="str">
        <f t="shared" si="6"/>
        <v>36–45</v>
      </c>
      <c r="L397" t="str">
        <f>IF(Table1[[#This Row],[Daily_Screen_Time(hrs)]]&lt;=3,"Low",IF(Table1[[#This Row],[Daily_Screen_Time(hrs)]]&lt;=6,"Medium","High"))</f>
        <v>High</v>
      </c>
      <c r="M397" t="str">
        <f>IF(Table1[[#This Row],[Stress_Level(1-10)]]&lt;=4,"Low",IF(Table1[[#This Row],[Stress_Level(1-10)]]&lt;=7,"Medium","High"))</f>
        <v>Medium</v>
      </c>
      <c r="N397" t="str">
        <f>IF(Table1[[#This Row],[Happiness_Index(1-10)]]&lt;=4,"Low",IF(Table1[[#This Row],[Happiness_Index(1-10)]]&lt;=7,"Normal","High"))</f>
        <v>High</v>
      </c>
    </row>
    <row r="398" spans="1:14" x14ac:dyDescent="0.25">
      <c r="A398" t="s">
        <v>415</v>
      </c>
      <c r="B398">
        <v>38</v>
      </c>
      <c r="C398" t="s">
        <v>11</v>
      </c>
      <c r="D398">
        <v>5.4</v>
      </c>
      <c r="E398">
        <v>8</v>
      </c>
      <c r="F398">
        <v>9</v>
      </c>
      <c r="G398">
        <v>5</v>
      </c>
      <c r="H398">
        <v>3</v>
      </c>
      <c r="I398" t="s">
        <v>22</v>
      </c>
      <c r="J398">
        <v>8</v>
      </c>
      <c r="K398" t="str">
        <f t="shared" si="6"/>
        <v>36–45</v>
      </c>
      <c r="L398" t="str">
        <f>IF(Table1[[#This Row],[Daily_Screen_Time(hrs)]]&lt;=3,"Low",IF(Table1[[#This Row],[Daily_Screen_Time(hrs)]]&lt;=6,"Medium","High"))</f>
        <v>Medium</v>
      </c>
      <c r="M398" t="str">
        <f>IF(Table1[[#This Row],[Stress_Level(1-10)]]&lt;=4,"Low",IF(Table1[[#This Row],[Stress_Level(1-10)]]&lt;=7,"Medium","High"))</f>
        <v>High</v>
      </c>
      <c r="N398" t="str">
        <f>IF(Table1[[#This Row],[Happiness_Index(1-10)]]&lt;=4,"Low",IF(Table1[[#This Row],[Happiness_Index(1-10)]]&lt;=7,"Normal","High"))</f>
        <v>High</v>
      </c>
    </row>
    <row r="399" spans="1:14" x14ac:dyDescent="0.25">
      <c r="A399" t="s">
        <v>416</v>
      </c>
      <c r="B399">
        <v>47</v>
      </c>
      <c r="C399" t="s">
        <v>19</v>
      </c>
      <c r="D399">
        <v>3.8</v>
      </c>
      <c r="E399">
        <v>8</v>
      </c>
      <c r="F399">
        <v>4</v>
      </c>
      <c r="G399">
        <v>2</v>
      </c>
      <c r="H399">
        <v>4</v>
      </c>
      <c r="I399" t="s">
        <v>15</v>
      </c>
      <c r="J399">
        <v>10</v>
      </c>
      <c r="K399" t="str">
        <f t="shared" si="6"/>
        <v>46+</v>
      </c>
      <c r="L399" t="str">
        <f>IF(Table1[[#This Row],[Daily_Screen_Time(hrs)]]&lt;=3,"Low",IF(Table1[[#This Row],[Daily_Screen_Time(hrs)]]&lt;=6,"Medium","High"))</f>
        <v>Medium</v>
      </c>
      <c r="M399" t="str">
        <f>IF(Table1[[#This Row],[Stress_Level(1-10)]]&lt;=4,"Low",IF(Table1[[#This Row],[Stress_Level(1-10)]]&lt;=7,"Medium","High"))</f>
        <v>Low</v>
      </c>
      <c r="N399" t="str">
        <f>IF(Table1[[#This Row],[Happiness_Index(1-10)]]&lt;=4,"Low",IF(Table1[[#This Row],[Happiness_Index(1-10)]]&lt;=7,"Normal","High"))</f>
        <v>High</v>
      </c>
    </row>
    <row r="400" spans="1:14" x14ac:dyDescent="0.25">
      <c r="A400" t="s">
        <v>417</v>
      </c>
      <c r="B400">
        <v>27</v>
      </c>
      <c r="C400" t="s">
        <v>11</v>
      </c>
      <c r="D400">
        <v>3.9</v>
      </c>
      <c r="E400">
        <v>7</v>
      </c>
      <c r="F400">
        <v>5</v>
      </c>
      <c r="G400">
        <v>0</v>
      </c>
      <c r="H400">
        <v>4</v>
      </c>
      <c r="I400" t="s">
        <v>17</v>
      </c>
      <c r="J400">
        <v>10</v>
      </c>
      <c r="K400" t="str">
        <f t="shared" si="6"/>
        <v>26–35</v>
      </c>
      <c r="L400" t="str">
        <f>IF(Table1[[#This Row],[Daily_Screen_Time(hrs)]]&lt;=3,"Low",IF(Table1[[#This Row],[Daily_Screen_Time(hrs)]]&lt;=6,"Medium","High"))</f>
        <v>Medium</v>
      </c>
      <c r="M400" t="str">
        <f>IF(Table1[[#This Row],[Stress_Level(1-10)]]&lt;=4,"Low",IF(Table1[[#This Row],[Stress_Level(1-10)]]&lt;=7,"Medium","High"))</f>
        <v>Medium</v>
      </c>
      <c r="N400" t="str">
        <f>IF(Table1[[#This Row],[Happiness_Index(1-10)]]&lt;=4,"Low",IF(Table1[[#This Row],[Happiness_Index(1-10)]]&lt;=7,"Normal","High"))</f>
        <v>High</v>
      </c>
    </row>
    <row r="401" spans="1:14" x14ac:dyDescent="0.25">
      <c r="A401" t="s">
        <v>418</v>
      </c>
      <c r="B401">
        <v>28</v>
      </c>
      <c r="C401" t="s">
        <v>11</v>
      </c>
      <c r="D401">
        <v>3.7</v>
      </c>
      <c r="E401">
        <v>8</v>
      </c>
      <c r="F401">
        <v>5</v>
      </c>
      <c r="G401">
        <v>4</v>
      </c>
      <c r="H401">
        <v>3</v>
      </c>
      <c r="I401" t="s">
        <v>17</v>
      </c>
      <c r="J401">
        <v>10</v>
      </c>
      <c r="K401" t="str">
        <f t="shared" si="6"/>
        <v>26–35</v>
      </c>
      <c r="L401" t="str">
        <f>IF(Table1[[#This Row],[Daily_Screen_Time(hrs)]]&lt;=3,"Low",IF(Table1[[#This Row],[Daily_Screen_Time(hrs)]]&lt;=6,"Medium","High"))</f>
        <v>Medium</v>
      </c>
      <c r="M401" t="str">
        <f>IF(Table1[[#This Row],[Stress_Level(1-10)]]&lt;=4,"Low",IF(Table1[[#This Row],[Stress_Level(1-10)]]&lt;=7,"Medium","High"))</f>
        <v>Medium</v>
      </c>
      <c r="N401" t="str">
        <f>IF(Table1[[#This Row],[Happiness_Index(1-10)]]&lt;=4,"Low",IF(Table1[[#This Row],[Happiness_Index(1-10)]]&lt;=7,"Normal","High"))</f>
        <v>High</v>
      </c>
    </row>
    <row r="402" spans="1:14" x14ac:dyDescent="0.25">
      <c r="A402" t="s">
        <v>419</v>
      </c>
      <c r="B402">
        <v>38</v>
      </c>
      <c r="C402" t="s">
        <v>19</v>
      </c>
      <c r="D402">
        <v>7.2</v>
      </c>
      <c r="E402">
        <v>5</v>
      </c>
      <c r="F402">
        <v>8</v>
      </c>
      <c r="G402">
        <v>1</v>
      </c>
      <c r="H402">
        <v>2</v>
      </c>
      <c r="I402" t="s">
        <v>17</v>
      </c>
      <c r="J402">
        <v>9</v>
      </c>
      <c r="K402" t="str">
        <f t="shared" si="6"/>
        <v>36–45</v>
      </c>
      <c r="L402" t="str">
        <f>IF(Table1[[#This Row],[Daily_Screen_Time(hrs)]]&lt;=3,"Low",IF(Table1[[#This Row],[Daily_Screen_Time(hrs)]]&lt;=6,"Medium","High"))</f>
        <v>High</v>
      </c>
      <c r="M402" t="str">
        <f>IF(Table1[[#This Row],[Stress_Level(1-10)]]&lt;=4,"Low",IF(Table1[[#This Row],[Stress_Level(1-10)]]&lt;=7,"Medium","High"))</f>
        <v>High</v>
      </c>
      <c r="N402" t="str">
        <f>IF(Table1[[#This Row],[Happiness_Index(1-10)]]&lt;=4,"Low",IF(Table1[[#This Row],[Happiness_Index(1-10)]]&lt;=7,"Normal","High"))</f>
        <v>High</v>
      </c>
    </row>
    <row r="403" spans="1:14" x14ac:dyDescent="0.25">
      <c r="A403" t="s">
        <v>420</v>
      </c>
      <c r="B403">
        <v>40</v>
      </c>
      <c r="C403" t="s">
        <v>11</v>
      </c>
      <c r="D403">
        <v>4.4000000000000004</v>
      </c>
      <c r="E403">
        <v>7</v>
      </c>
      <c r="F403">
        <v>5</v>
      </c>
      <c r="G403">
        <v>4</v>
      </c>
      <c r="H403">
        <v>0</v>
      </c>
      <c r="I403" t="s">
        <v>17</v>
      </c>
      <c r="J403">
        <v>10</v>
      </c>
      <c r="K403" t="str">
        <f t="shared" si="6"/>
        <v>36–45</v>
      </c>
      <c r="L403" t="str">
        <f>IF(Table1[[#This Row],[Daily_Screen_Time(hrs)]]&lt;=3,"Low",IF(Table1[[#This Row],[Daily_Screen_Time(hrs)]]&lt;=6,"Medium","High"))</f>
        <v>Medium</v>
      </c>
      <c r="M403" t="str">
        <f>IF(Table1[[#This Row],[Stress_Level(1-10)]]&lt;=4,"Low",IF(Table1[[#This Row],[Stress_Level(1-10)]]&lt;=7,"Medium","High"))</f>
        <v>Medium</v>
      </c>
      <c r="N403" t="str">
        <f>IF(Table1[[#This Row],[Happiness_Index(1-10)]]&lt;=4,"Low",IF(Table1[[#This Row],[Happiness_Index(1-10)]]&lt;=7,"Normal","High"))</f>
        <v>High</v>
      </c>
    </row>
    <row r="404" spans="1:14" x14ac:dyDescent="0.25">
      <c r="A404" t="s">
        <v>421</v>
      </c>
      <c r="B404">
        <v>45</v>
      </c>
      <c r="C404" t="s">
        <v>11</v>
      </c>
      <c r="D404">
        <v>2.1</v>
      </c>
      <c r="E404">
        <v>10</v>
      </c>
      <c r="F404">
        <v>5</v>
      </c>
      <c r="G404">
        <v>6</v>
      </c>
      <c r="H404">
        <v>1</v>
      </c>
      <c r="I404" t="s">
        <v>12</v>
      </c>
      <c r="J404">
        <v>10</v>
      </c>
      <c r="K404" t="str">
        <f t="shared" si="6"/>
        <v>36–45</v>
      </c>
      <c r="L404" t="str">
        <f>IF(Table1[[#This Row],[Daily_Screen_Time(hrs)]]&lt;=3,"Low",IF(Table1[[#This Row],[Daily_Screen_Time(hrs)]]&lt;=6,"Medium","High"))</f>
        <v>Low</v>
      </c>
      <c r="M404" t="str">
        <f>IF(Table1[[#This Row],[Stress_Level(1-10)]]&lt;=4,"Low",IF(Table1[[#This Row],[Stress_Level(1-10)]]&lt;=7,"Medium","High"))</f>
        <v>Medium</v>
      </c>
      <c r="N404" t="str">
        <f>IF(Table1[[#This Row],[Happiness_Index(1-10)]]&lt;=4,"Low",IF(Table1[[#This Row],[Happiness_Index(1-10)]]&lt;=7,"Normal","High"))</f>
        <v>High</v>
      </c>
    </row>
    <row r="405" spans="1:14" x14ac:dyDescent="0.25">
      <c r="A405" t="s">
        <v>422</v>
      </c>
      <c r="B405">
        <v>32</v>
      </c>
      <c r="C405" t="s">
        <v>11</v>
      </c>
      <c r="D405">
        <v>6.2</v>
      </c>
      <c r="E405">
        <v>6</v>
      </c>
      <c r="F405">
        <v>8</v>
      </c>
      <c r="G405">
        <v>4</v>
      </c>
      <c r="H405">
        <v>5</v>
      </c>
      <c r="I405" t="s">
        <v>17</v>
      </c>
      <c r="J405">
        <v>7</v>
      </c>
      <c r="K405" t="str">
        <f t="shared" si="6"/>
        <v>26–35</v>
      </c>
      <c r="L405" t="str">
        <f>IF(Table1[[#This Row],[Daily_Screen_Time(hrs)]]&lt;=3,"Low",IF(Table1[[#This Row],[Daily_Screen_Time(hrs)]]&lt;=6,"Medium","High"))</f>
        <v>High</v>
      </c>
      <c r="M405" t="str">
        <f>IF(Table1[[#This Row],[Stress_Level(1-10)]]&lt;=4,"Low",IF(Table1[[#This Row],[Stress_Level(1-10)]]&lt;=7,"Medium","High"))</f>
        <v>High</v>
      </c>
      <c r="N405" t="str">
        <f>IF(Table1[[#This Row],[Happiness_Index(1-10)]]&lt;=4,"Low",IF(Table1[[#This Row],[Happiness_Index(1-10)]]&lt;=7,"Normal","High"))</f>
        <v>Normal</v>
      </c>
    </row>
    <row r="406" spans="1:14" x14ac:dyDescent="0.25">
      <c r="A406" t="s">
        <v>423</v>
      </c>
      <c r="B406">
        <v>35</v>
      </c>
      <c r="C406" t="s">
        <v>11</v>
      </c>
      <c r="D406">
        <v>8.1999999999999993</v>
      </c>
      <c r="E406">
        <v>4</v>
      </c>
      <c r="F406">
        <v>9</v>
      </c>
      <c r="G406">
        <v>5</v>
      </c>
      <c r="H406">
        <v>0</v>
      </c>
      <c r="I406" t="s">
        <v>22</v>
      </c>
      <c r="J406">
        <v>6</v>
      </c>
      <c r="K406" t="str">
        <f t="shared" si="6"/>
        <v>26–35</v>
      </c>
      <c r="L406" t="str">
        <f>IF(Table1[[#This Row],[Daily_Screen_Time(hrs)]]&lt;=3,"Low",IF(Table1[[#This Row],[Daily_Screen_Time(hrs)]]&lt;=6,"Medium","High"))</f>
        <v>High</v>
      </c>
      <c r="M406" t="str">
        <f>IF(Table1[[#This Row],[Stress_Level(1-10)]]&lt;=4,"Low",IF(Table1[[#This Row],[Stress_Level(1-10)]]&lt;=7,"Medium","High"))</f>
        <v>High</v>
      </c>
      <c r="N406" t="str">
        <f>IF(Table1[[#This Row],[Happiness_Index(1-10)]]&lt;=4,"Low",IF(Table1[[#This Row],[Happiness_Index(1-10)]]&lt;=7,"Normal","High"))</f>
        <v>Normal</v>
      </c>
    </row>
    <row r="407" spans="1:14" x14ac:dyDescent="0.25">
      <c r="A407" t="s">
        <v>424</v>
      </c>
      <c r="B407">
        <v>40</v>
      </c>
      <c r="C407" t="s">
        <v>11</v>
      </c>
      <c r="D407">
        <v>6.9</v>
      </c>
      <c r="E407">
        <v>3</v>
      </c>
      <c r="F407">
        <v>8</v>
      </c>
      <c r="G407">
        <v>7</v>
      </c>
      <c r="H407">
        <v>1</v>
      </c>
      <c r="I407" t="s">
        <v>12</v>
      </c>
      <c r="J407">
        <v>6</v>
      </c>
      <c r="K407" t="str">
        <f t="shared" si="6"/>
        <v>36–45</v>
      </c>
      <c r="L407" t="str">
        <f>IF(Table1[[#This Row],[Daily_Screen_Time(hrs)]]&lt;=3,"Low",IF(Table1[[#This Row],[Daily_Screen_Time(hrs)]]&lt;=6,"Medium","High"))</f>
        <v>High</v>
      </c>
      <c r="M407" t="str">
        <f>IF(Table1[[#This Row],[Stress_Level(1-10)]]&lt;=4,"Low",IF(Table1[[#This Row],[Stress_Level(1-10)]]&lt;=7,"Medium","High"))</f>
        <v>High</v>
      </c>
      <c r="N407" t="str">
        <f>IF(Table1[[#This Row],[Happiness_Index(1-10)]]&lt;=4,"Low",IF(Table1[[#This Row],[Happiness_Index(1-10)]]&lt;=7,"Normal","High"))</f>
        <v>Normal</v>
      </c>
    </row>
    <row r="408" spans="1:14" x14ac:dyDescent="0.25">
      <c r="A408" t="s">
        <v>425</v>
      </c>
      <c r="B408">
        <v>37</v>
      </c>
      <c r="C408" t="s">
        <v>19</v>
      </c>
      <c r="D408">
        <v>4.4000000000000004</v>
      </c>
      <c r="E408">
        <v>7</v>
      </c>
      <c r="F408">
        <v>6</v>
      </c>
      <c r="G408">
        <v>5</v>
      </c>
      <c r="H408">
        <v>4</v>
      </c>
      <c r="I408" t="s">
        <v>17</v>
      </c>
      <c r="J408">
        <v>10</v>
      </c>
      <c r="K408" t="str">
        <f t="shared" si="6"/>
        <v>36–45</v>
      </c>
      <c r="L408" t="str">
        <f>IF(Table1[[#This Row],[Daily_Screen_Time(hrs)]]&lt;=3,"Low",IF(Table1[[#This Row],[Daily_Screen_Time(hrs)]]&lt;=6,"Medium","High"))</f>
        <v>Medium</v>
      </c>
      <c r="M408" t="str">
        <f>IF(Table1[[#This Row],[Stress_Level(1-10)]]&lt;=4,"Low",IF(Table1[[#This Row],[Stress_Level(1-10)]]&lt;=7,"Medium","High"))</f>
        <v>Medium</v>
      </c>
      <c r="N408" t="str">
        <f>IF(Table1[[#This Row],[Happiness_Index(1-10)]]&lt;=4,"Low",IF(Table1[[#This Row],[Happiness_Index(1-10)]]&lt;=7,"Normal","High"))</f>
        <v>High</v>
      </c>
    </row>
    <row r="409" spans="1:14" x14ac:dyDescent="0.25">
      <c r="A409" t="s">
        <v>426</v>
      </c>
      <c r="B409">
        <v>28</v>
      </c>
      <c r="C409" t="s">
        <v>11</v>
      </c>
      <c r="D409">
        <v>2.6</v>
      </c>
      <c r="E409">
        <v>10</v>
      </c>
      <c r="F409">
        <v>3</v>
      </c>
      <c r="G409">
        <v>4</v>
      </c>
      <c r="H409">
        <v>3</v>
      </c>
      <c r="I409" t="s">
        <v>26</v>
      </c>
      <c r="J409">
        <v>10</v>
      </c>
      <c r="K409" t="str">
        <f t="shared" si="6"/>
        <v>26–35</v>
      </c>
      <c r="L409" t="str">
        <f>IF(Table1[[#This Row],[Daily_Screen_Time(hrs)]]&lt;=3,"Low",IF(Table1[[#This Row],[Daily_Screen_Time(hrs)]]&lt;=6,"Medium","High"))</f>
        <v>Low</v>
      </c>
      <c r="M409" t="str">
        <f>IF(Table1[[#This Row],[Stress_Level(1-10)]]&lt;=4,"Low",IF(Table1[[#This Row],[Stress_Level(1-10)]]&lt;=7,"Medium","High"))</f>
        <v>Low</v>
      </c>
      <c r="N409" t="str">
        <f>IF(Table1[[#This Row],[Happiness_Index(1-10)]]&lt;=4,"Low",IF(Table1[[#This Row],[Happiness_Index(1-10)]]&lt;=7,"Normal","High"))</f>
        <v>High</v>
      </c>
    </row>
    <row r="410" spans="1:14" x14ac:dyDescent="0.25">
      <c r="A410" t="s">
        <v>427</v>
      </c>
      <c r="B410">
        <v>34</v>
      </c>
      <c r="C410" t="s">
        <v>19</v>
      </c>
      <c r="D410">
        <v>5.3</v>
      </c>
      <c r="E410">
        <v>6</v>
      </c>
      <c r="F410">
        <v>6</v>
      </c>
      <c r="G410">
        <v>6</v>
      </c>
      <c r="H410">
        <v>4</v>
      </c>
      <c r="I410" t="s">
        <v>20</v>
      </c>
      <c r="J410">
        <v>8</v>
      </c>
      <c r="K410" t="str">
        <f t="shared" si="6"/>
        <v>26–35</v>
      </c>
      <c r="L410" t="str">
        <f>IF(Table1[[#This Row],[Daily_Screen_Time(hrs)]]&lt;=3,"Low",IF(Table1[[#This Row],[Daily_Screen_Time(hrs)]]&lt;=6,"Medium","High"))</f>
        <v>Medium</v>
      </c>
      <c r="M410" t="str">
        <f>IF(Table1[[#This Row],[Stress_Level(1-10)]]&lt;=4,"Low",IF(Table1[[#This Row],[Stress_Level(1-10)]]&lt;=7,"Medium","High"))</f>
        <v>Medium</v>
      </c>
      <c r="N410" t="str">
        <f>IF(Table1[[#This Row],[Happiness_Index(1-10)]]&lt;=4,"Low",IF(Table1[[#This Row],[Happiness_Index(1-10)]]&lt;=7,"Normal","High"))</f>
        <v>High</v>
      </c>
    </row>
    <row r="411" spans="1:14" x14ac:dyDescent="0.25">
      <c r="A411" t="s">
        <v>428</v>
      </c>
      <c r="B411">
        <v>27</v>
      </c>
      <c r="C411" t="s">
        <v>19</v>
      </c>
      <c r="D411">
        <v>5.2</v>
      </c>
      <c r="E411">
        <v>4</v>
      </c>
      <c r="F411">
        <v>7</v>
      </c>
      <c r="G411">
        <v>7</v>
      </c>
      <c r="H411">
        <v>3</v>
      </c>
      <c r="I411" t="s">
        <v>20</v>
      </c>
      <c r="J411">
        <v>9</v>
      </c>
      <c r="K411" t="str">
        <f t="shared" si="6"/>
        <v>26–35</v>
      </c>
      <c r="L411" t="str">
        <f>IF(Table1[[#This Row],[Daily_Screen_Time(hrs)]]&lt;=3,"Low",IF(Table1[[#This Row],[Daily_Screen_Time(hrs)]]&lt;=6,"Medium","High"))</f>
        <v>Medium</v>
      </c>
      <c r="M411" t="str">
        <f>IF(Table1[[#This Row],[Stress_Level(1-10)]]&lt;=4,"Low",IF(Table1[[#This Row],[Stress_Level(1-10)]]&lt;=7,"Medium","High"))</f>
        <v>Medium</v>
      </c>
      <c r="N411" t="str">
        <f>IF(Table1[[#This Row],[Happiness_Index(1-10)]]&lt;=4,"Low",IF(Table1[[#This Row],[Happiness_Index(1-10)]]&lt;=7,"Normal","High"))</f>
        <v>High</v>
      </c>
    </row>
    <row r="412" spans="1:14" x14ac:dyDescent="0.25">
      <c r="A412" t="s">
        <v>429</v>
      </c>
      <c r="B412">
        <v>34</v>
      </c>
      <c r="C412" t="s">
        <v>11</v>
      </c>
      <c r="D412">
        <v>3.8</v>
      </c>
      <c r="E412">
        <v>7</v>
      </c>
      <c r="F412">
        <v>6</v>
      </c>
      <c r="G412">
        <v>7</v>
      </c>
      <c r="H412">
        <v>5</v>
      </c>
      <c r="I412" t="s">
        <v>20</v>
      </c>
      <c r="J412">
        <v>10</v>
      </c>
      <c r="K412" t="str">
        <f t="shared" si="6"/>
        <v>26–35</v>
      </c>
      <c r="L412" t="str">
        <f>IF(Table1[[#This Row],[Daily_Screen_Time(hrs)]]&lt;=3,"Low",IF(Table1[[#This Row],[Daily_Screen_Time(hrs)]]&lt;=6,"Medium","High"))</f>
        <v>Medium</v>
      </c>
      <c r="M412" t="str">
        <f>IF(Table1[[#This Row],[Stress_Level(1-10)]]&lt;=4,"Low",IF(Table1[[#This Row],[Stress_Level(1-10)]]&lt;=7,"Medium","High"))</f>
        <v>Medium</v>
      </c>
      <c r="N412" t="str">
        <f>IF(Table1[[#This Row],[Happiness_Index(1-10)]]&lt;=4,"Low",IF(Table1[[#This Row],[Happiness_Index(1-10)]]&lt;=7,"Normal","High"))</f>
        <v>High</v>
      </c>
    </row>
    <row r="413" spans="1:14" x14ac:dyDescent="0.25">
      <c r="A413" t="s">
        <v>430</v>
      </c>
      <c r="B413">
        <v>27</v>
      </c>
      <c r="C413" t="s">
        <v>11</v>
      </c>
      <c r="D413">
        <v>6.5</v>
      </c>
      <c r="E413">
        <v>7</v>
      </c>
      <c r="F413">
        <v>7</v>
      </c>
      <c r="G413">
        <v>2</v>
      </c>
      <c r="H413">
        <v>3</v>
      </c>
      <c r="I413" t="s">
        <v>12</v>
      </c>
      <c r="J413">
        <v>10</v>
      </c>
      <c r="K413" t="str">
        <f t="shared" si="6"/>
        <v>26–35</v>
      </c>
      <c r="L413" t="str">
        <f>IF(Table1[[#This Row],[Daily_Screen_Time(hrs)]]&lt;=3,"Low",IF(Table1[[#This Row],[Daily_Screen_Time(hrs)]]&lt;=6,"Medium","High"))</f>
        <v>High</v>
      </c>
      <c r="M413" t="str">
        <f>IF(Table1[[#This Row],[Stress_Level(1-10)]]&lt;=4,"Low",IF(Table1[[#This Row],[Stress_Level(1-10)]]&lt;=7,"Medium","High"))</f>
        <v>Medium</v>
      </c>
      <c r="N413" t="str">
        <f>IF(Table1[[#This Row],[Happiness_Index(1-10)]]&lt;=4,"Low",IF(Table1[[#This Row],[Happiness_Index(1-10)]]&lt;=7,"Normal","High"))</f>
        <v>High</v>
      </c>
    </row>
    <row r="414" spans="1:14" x14ac:dyDescent="0.25">
      <c r="A414" t="s">
        <v>431</v>
      </c>
      <c r="B414">
        <v>24</v>
      </c>
      <c r="C414" t="s">
        <v>11</v>
      </c>
      <c r="D414">
        <v>8.8000000000000007</v>
      </c>
      <c r="E414">
        <v>5</v>
      </c>
      <c r="F414">
        <v>9</v>
      </c>
      <c r="G414">
        <v>0</v>
      </c>
      <c r="H414">
        <v>3</v>
      </c>
      <c r="I414" t="s">
        <v>17</v>
      </c>
      <c r="J414">
        <v>6</v>
      </c>
      <c r="K414" t="str">
        <f t="shared" si="6"/>
        <v>15–25</v>
      </c>
      <c r="L414" t="str">
        <f>IF(Table1[[#This Row],[Daily_Screen_Time(hrs)]]&lt;=3,"Low",IF(Table1[[#This Row],[Daily_Screen_Time(hrs)]]&lt;=6,"Medium","High"))</f>
        <v>High</v>
      </c>
      <c r="M414" t="str">
        <f>IF(Table1[[#This Row],[Stress_Level(1-10)]]&lt;=4,"Low",IF(Table1[[#This Row],[Stress_Level(1-10)]]&lt;=7,"Medium","High"))</f>
        <v>High</v>
      </c>
      <c r="N414" t="str">
        <f>IF(Table1[[#This Row],[Happiness_Index(1-10)]]&lt;=4,"Low",IF(Table1[[#This Row],[Happiness_Index(1-10)]]&lt;=7,"Normal","High"))</f>
        <v>Normal</v>
      </c>
    </row>
    <row r="415" spans="1:14" x14ac:dyDescent="0.25">
      <c r="A415" t="s">
        <v>432</v>
      </c>
      <c r="B415">
        <v>22</v>
      </c>
      <c r="C415" t="s">
        <v>19</v>
      </c>
      <c r="D415">
        <v>5.9</v>
      </c>
      <c r="E415">
        <v>5</v>
      </c>
      <c r="F415">
        <v>6</v>
      </c>
      <c r="G415">
        <v>2</v>
      </c>
      <c r="H415">
        <v>1</v>
      </c>
      <c r="I415" t="s">
        <v>15</v>
      </c>
      <c r="J415">
        <v>9</v>
      </c>
      <c r="K415" t="str">
        <f t="shared" si="6"/>
        <v>15–25</v>
      </c>
      <c r="L415" t="str">
        <f>IF(Table1[[#This Row],[Daily_Screen_Time(hrs)]]&lt;=3,"Low",IF(Table1[[#This Row],[Daily_Screen_Time(hrs)]]&lt;=6,"Medium","High"))</f>
        <v>Medium</v>
      </c>
      <c r="M415" t="str">
        <f>IF(Table1[[#This Row],[Stress_Level(1-10)]]&lt;=4,"Low",IF(Table1[[#This Row],[Stress_Level(1-10)]]&lt;=7,"Medium","High"))</f>
        <v>Medium</v>
      </c>
      <c r="N415" t="str">
        <f>IF(Table1[[#This Row],[Happiness_Index(1-10)]]&lt;=4,"Low",IF(Table1[[#This Row],[Happiness_Index(1-10)]]&lt;=7,"Normal","High"))</f>
        <v>High</v>
      </c>
    </row>
    <row r="416" spans="1:14" x14ac:dyDescent="0.25">
      <c r="A416" t="s">
        <v>433</v>
      </c>
      <c r="B416">
        <v>43</v>
      </c>
      <c r="C416" t="s">
        <v>11</v>
      </c>
      <c r="D416">
        <v>5.8</v>
      </c>
      <c r="E416">
        <v>6</v>
      </c>
      <c r="F416">
        <v>7</v>
      </c>
      <c r="G416">
        <v>4</v>
      </c>
      <c r="H416">
        <v>3</v>
      </c>
      <c r="I416" t="s">
        <v>15</v>
      </c>
      <c r="J416">
        <v>9</v>
      </c>
      <c r="K416" t="str">
        <f t="shared" si="6"/>
        <v>36–45</v>
      </c>
      <c r="L416" t="str">
        <f>IF(Table1[[#This Row],[Daily_Screen_Time(hrs)]]&lt;=3,"Low",IF(Table1[[#This Row],[Daily_Screen_Time(hrs)]]&lt;=6,"Medium","High"))</f>
        <v>Medium</v>
      </c>
      <c r="M416" t="str">
        <f>IF(Table1[[#This Row],[Stress_Level(1-10)]]&lt;=4,"Low",IF(Table1[[#This Row],[Stress_Level(1-10)]]&lt;=7,"Medium","High"))</f>
        <v>Medium</v>
      </c>
      <c r="N416" t="str">
        <f>IF(Table1[[#This Row],[Happiness_Index(1-10)]]&lt;=4,"Low",IF(Table1[[#This Row],[Happiness_Index(1-10)]]&lt;=7,"Normal","High"))</f>
        <v>High</v>
      </c>
    </row>
    <row r="417" spans="1:14" x14ac:dyDescent="0.25">
      <c r="A417" t="s">
        <v>434</v>
      </c>
      <c r="B417">
        <v>29</v>
      </c>
      <c r="C417" t="s">
        <v>19</v>
      </c>
      <c r="D417">
        <v>3.8</v>
      </c>
      <c r="E417">
        <v>7</v>
      </c>
      <c r="F417">
        <v>6</v>
      </c>
      <c r="G417">
        <v>3</v>
      </c>
      <c r="H417">
        <v>2</v>
      </c>
      <c r="I417" t="s">
        <v>15</v>
      </c>
      <c r="J417">
        <v>8</v>
      </c>
      <c r="K417" t="str">
        <f t="shared" si="6"/>
        <v>26–35</v>
      </c>
      <c r="L417" t="str">
        <f>IF(Table1[[#This Row],[Daily_Screen_Time(hrs)]]&lt;=3,"Low",IF(Table1[[#This Row],[Daily_Screen_Time(hrs)]]&lt;=6,"Medium","High"))</f>
        <v>Medium</v>
      </c>
      <c r="M417" t="str">
        <f>IF(Table1[[#This Row],[Stress_Level(1-10)]]&lt;=4,"Low",IF(Table1[[#This Row],[Stress_Level(1-10)]]&lt;=7,"Medium","High"))</f>
        <v>Medium</v>
      </c>
      <c r="N417" t="str">
        <f>IF(Table1[[#This Row],[Happiness_Index(1-10)]]&lt;=4,"Low",IF(Table1[[#This Row],[Happiness_Index(1-10)]]&lt;=7,"Normal","High"))</f>
        <v>High</v>
      </c>
    </row>
    <row r="418" spans="1:14" x14ac:dyDescent="0.25">
      <c r="A418" t="s">
        <v>435</v>
      </c>
      <c r="B418">
        <v>46</v>
      </c>
      <c r="C418" t="s">
        <v>11</v>
      </c>
      <c r="D418">
        <v>8</v>
      </c>
      <c r="E418">
        <v>4</v>
      </c>
      <c r="F418">
        <v>8</v>
      </c>
      <c r="G418">
        <v>3</v>
      </c>
      <c r="H418">
        <v>2</v>
      </c>
      <c r="I418" t="s">
        <v>12</v>
      </c>
      <c r="J418">
        <v>9</v>
      </c>
      <c r="K418" t="str">
        <f t="shared" si="6"/>
        <v>46+</v>
      </c>
      <c r="L418" t="str">
        <f>IF(Table1[[#This Row],[Daily_Screen_Time(hrs)]]&lt;=3,"Low",IF(Table1[[#This Row],[Daily_Screen_Time(hrs)]]&lt;=6,"Medium","High"))</f>
        <v>High</v>
      </c>
      <c r="M418" t="str">
        <f>IF(Table1[[#This Row],[Stress_Level(1-10)]]&lt;=4,"Low",IF(Table1[[#This Row],[Stress_Level(1-10)]]&lt;=7,"Medium","High"))</f>
        <v>High</v>
      </c>
      <c r="N418" t="str">
        <f>IF(Table1[[#This Row],[Happiness_Index(1-10)]]&lt;=4,"Low",IF(Table1[[#This Row],[Happiness_Index(1-10)]]&lt;=7,"Normal","High"))</f>
        <v>High</v>
      </c>
    </row>
    <row r="419" spans="1:14" x14ac:dyDescent="0.25">
      <c r="A419" t="s">
        <v>436</v>
      </c>
      <c r="B419">
        <v>34</v>
      </c>
      <c r="C419" t="s">
        <v>19</v>
      </c>
      <c r="D419">
        <v>5.4</v>
      </c>
      <c r="E419">
        <v>4</v>
      </c>
      <c r="F419">
        <v>5</v>
      </c>
      <c r="G419">
        <v>4</v>
      </c>
      <c r="H419">
        <v>4</v>
      </c>
      <c r="I419" t="s">
        <v>22</v>
      </c>
      <c r="J419">
        <v>10</v>
      </c>
      <c r="K419" t="str">
        <f t="shared" si="6"/>
        <v>26–35</v>
      </c>
      <c r="L419" t="str">
        <f>IF(Table1[[#This Row],[Daily_Screen_Time(hrs)]]&lt;=3,"Low",IF(Table1[[#This Row],[Daily_Screen_Time(hrs)]]&lt;=6,"Medium","High"))</f>
        <v>Medium</v>
      </c>
      <c r="M419" t="str">
        <f>IF(Table1[[#This Row],[Stress_Level(1-10)]]&lt;=4,"Low",IF(Table1[[#This Row],[Stress_Level(1-10)]]&lt;=7,"Medium","High"))</f>
        <v>Medium</v>
      </c>
      <c r="N419" t="str">
        <f>IF(Table1[[#This Row],[Happiness_Index(1-10)]]&lt;=4,"Low",IF(Table1[[#This Row],[Happiness_Index(1-10)]]&lt;=7,"Normal","High"))</f>
        <v>High</v>
      </c>
    </row>
    <row r="420" spans="1:14" x14ac:dyDescent="0.25">
      <c r="A420" t="s">
        <v>437</v>
      </c>
      <c r="B420">
        <v>31</v>
      </c>
      <c r="C420" t="s">
        <v>11</v>
      </c>
      <c r="D420">
        <v>4.5</v>
      </c>
      <c r="E420">
        <v>8</v>
      </c>
      <c r="F420">
        <v>5</v>
      </c>
      <c r="G420">
        <v>0</v>
      </c>
      <c r="H420">
        <v>4</v>
      </c>
      <c r="I420" t="s">
        <v>26</v>
      </c>
      <c r="J420">
        <v>10</v>
      </c>
      <c r="K420" t="str">
        <f t="shared" si="6"/>
        <v>26–35</v>
      </c>
      <c r="L420" t="str">
        <f>IF(Table1[[#This Row],[Daily_Screen_Time(hrs)]]&lt;=3,"Low",IF(Table1[[#This Row],[Daily_Screen_Time(hrs)]]&lt;=6,"Medium","High"))</f>
        <v>Medium</v>
      </c>
      <c r="M420" t="str">
        <f>IF(Table1[[#This Row],[Stress_Level(1-10)]]&lt;=4,"Low",IF(Table1[[#This Row],[Stress_Level(1-10)]]&lt;=7,"Medium","High"))</f>
        <v>Medium</v>
      </c>
      <c r="N420" t="str">
        <f>IF(Table1[[#This Row],[Happiness_Index(1-10)]]&lt;=4,"Low",IF(Table1[[#This Row],[Happiness_Index(1-10)]]&lt;=7,"Normal","High"))</f>
        <v>High</v>
      </c>
    </row>
    <row r="421" spans="1:14" x14ac:dyDescent="0.25">
      <c r="A421" t="s">
        <v>438</v>
      </c>
      <c r="B421">
        <v>20</v>
      </c>
      <c r="C421" t="s">
        <v>11</v>
      </c>
      <c r="D421">
        <v>5.6</v>
      </c>
      <c r="E421">
        <v>8</v>
      </c>
      <c r="F421">
        <v>8</v>
      </c>
      <c r="G421">
        <v>3</v>
      </c>
      <c r="H421">
        <v>5</v>
      </c>
      <c r="I421" t="s">
        <v>26</v>
      </c>
      <c r="J421">
        <v>8</v>
      </c>
      <c r="K421" t="str">
        <f t="shared" si="6"/>
        <v>15–25</v>
      </c>
      <c r="L421" t="str">
        <f>IF(Table1[[#This Row],[Daily_Screen_Time(hrs)]]&lt;=3,"Low",IF(Table1[[#This Row],[Daily_Screen_Time(hrs)]]&lt;=6,"Medium","High"))</f>
        <v>Medium</v>
      </c>
      <c r="M421" t="str">
        <f>IF(Table1[[#This Row],[Stress_Level(1-10)]]&lt;=4,"Low",IF(Table1[[#This Row],[Stress_Level(1-10)]]&lt;=7,"Medium","High"))</f>
        <v>High</v>
      </c>
      <c r="N421" t="str">
        <f>IF(Table1[[#This Row],[Happiness_Index(1-10)]]&lt;=4,"Low",IF(Table1[[#This Row],[Happiness_Index(1-10)]]&lt;=7,"Normal","High"))</f>
        <v>High</v>
      </c>
    </row>
    <row r="422" spans="1:14" x14ac:dyDescent="0.25">
      <c r="A422" t="s">
        <v>439</v>
      </c>
      <c r="B422">
        <v>27</v>
      </c>
      <c r="C422" t="s">
        <v>14</v>
      </c>
      <c r="D422">
        <v>6.3</v>
      </c>
      <c r="E422">
        <v>4</v>
      </c>
      <c r="F422">
        <v>9</v>
      </c>
      <c r="G422">
        <v>5</v>
      </c>
      <c r="H422">
        <v>5</v>
      </c>
      <c r="I422" t="s">
        <v>20</v>
      </c>
      <c r="J422">
        <v>6</v>
      </c>
      <c r="K422" t="str">
        <f t="shared" si="6"/>
        <v>26–35</v>
      </c>
      <c r="L422" t="str">
        <f>IF(Table1[[#This Row],[Daily_Screen_Time(hrs)]]&lt;=3,"Low",IF(Table1[[#This Row],[Daily_Screen_Time(hrs)]]&lt;=6,"Medium","High"))</f>
        <v>High</v>
      </c>
      <c r="M422" t="str">
        <f>IF(Table1[[#This Row],[Stress_Level(1-10)]]&lt;=4,"Low",IF(Table1[[#This Row],[Stress_Level(1-10)]]&lt;=7,"Medium","High"))</f>
        <v>High</v>
      </c>
      <c r="N422" t="str">
        <f>IF(Table1[[#This Row],[Happiness_Index(1-10)]]&lt;=4,"Low",IF(Table1[[#This Row],[Happiness_Index(1-10)]]&lt;=7,"Normal","High"))</f>
        <v>Normal</v>
      </c>
    </row>
    <row r="423" spans="1:14" x14ac:dyDescent="0.25">
      <c r="A423" t="s">
        <v>440</v>
      </c>
      <c r="B423">
        <v>40</v>
      </c>
      <c r="C423" t="s">
        <v>19</v>
      </c>
      <c r="D423">
        <v>5.8</v>
      </c>
      <c r="E423">
        <v>7</v>
      </c>
      <c r="F423">
        <v>8</v>
      </c>
      <c r="G423">
        <v>4</v>
      </c>
      <c r="H423">
        <v>4</v>
      </c>
      <c r="I423" t="s">
        <v>20</v>
      </c>
      <c r="J423">
        <v>8</v>
      </c>
      <c r="K423" t="str">
        <f t="shared" si="6"/>
        <v>36–45</v>
      </c>
      <c r="L423" t="str">
        <f>IF(Table1[[#This Row],[Daily_Screen_Time(hrs)]]&lt;=3,"Low",IF(Table1[[#This Row],[Daily_Screen_Time(hrs)]]&lt;=6,"Medium","High"))</f>
        <v>Medium</v>
      </c>
      <c r="M423" t="str">
        <f>IF(Table1[[#This Row],[Stress_Level(1-10)]]&lt;=4,"Low",IF(Table1[[#This Row],[Stress_Level(1-10)]]&lt;=7,"Medium","High"))</f>
        <v>High</v>
      </c>
      <c r="N423" t="str">
        <f>IF(Table1[[#This Row],[Happiness_Index(1-10)]]&lt;=4,"Low",IF(Table1[[#This Row],[Happiness_Index(1-10)]]&lt;=7,"Normal","High"))</f>
        <v>High</v>
      </c>
    </row>
    <row r="424" spans="1:14" x14ac:dyDescent="0.25">
      <c r="A424" t="s">
        <v>441</v>
      </c>
      <c r="B424">
        <v>36</v>
      </c>
      <c r="C424" t="s">
        <v>11</v>
      </c>
      <c r="D424">
        <v>7.7</v>
      </c>
      <c r="E424">
        <v>5</v>
      </c>
      <c r="F424">
        <v>8</v>
      </c>
      <c r="G424">
        <v>4</v>
      </c>
      <c r="H424">
        <v>0</v>
      </c>
      <c r="I424" t="s">
        <v>15</v>
      </c>
      <c r="J424">
        <v>8</v>
      </c>
      <c r="K424" t="str">
        <f t="shared" si="6"/>
        <v>36–45</v>
      </c>
      <c r="L424" t="str">
        <f>IF(Table1[[#This Row],[Daily_Screen_Time(hrs)]]&lt;=3,"Low",IF(Table1[[#This Row],[Daily_Screen_Time(hrs)]]&lt;=6,"Medium","High"))</f>
        <v>High</v>
      </c>
      <c r="M424" t="str">
        <f>IF(Table1[[#This Row],[Stress_Level(1-10)]]&lt;=4,"Low",IF(Table1[[#This Row],[Stress_Level(1-10)]]&lt;=7,"Medium","High"))</f>
        <v>High</v>
      </c>
      <c r="N424" t="str">
        <f>IF(Table1[[#This Row],[Happiness_Index(1-10)]]&lt;=4,"Low",IF(Table1[[#This Row],[Happiness_Index(1-10)]]&lt;=7,"Normal","High"))</f>
        <v>High</v>
      </c>
    </row>
    <row r="425" spans="1:14" x14ac:dyDescent="0.25">
      <c r="A425" t="s">
        <v>442</v>
      </c>
      <c r="B425">
        <v>38</v>
      </c>
      <c r="C425" t="s">
        <v>19</v>
      </c>
      <c r="D425">
        <v>6.2</v>
      </c>
      <c r="E425">
        <v>7</v>
      </c>
      <c r="F425">
        <v>6</v>
      </c>
      <c r="G425">
        <v>6</v>
      </c>
      <c r="H425">
        <v>5</v>
      </c>
      <c r="I425" t="s">
        <v>15</v>
      </c>
      <c r="J425">
        <v>10</v>
      </c>
      <c r="K425" t="str">
        <f t="shared" si="6"/>
        <v>36–45</v>
      </c>
      <c r="L425" t="str">
        <f>IF(Table1[[#This Row],[Daily_Screen_Time(hrs)]]&lt;=3,"Low",IF(Table1[[#This Row],[Daily_Screen_Time(hrs)]]&lt;=6,"Medium","High"))</f>
        <v>High</v>
      </c>
      <c r="M425" t="str">
        <f>IF(Table1[[#This Row],[Stress_Level(1-10)]]&lt;=4,"Low",IF(Table1[[#This Row],[Stress_Level(1-10)]]&lt;=7,"Medium","High"))</f>
        <v>Medium</v>
      </c>
      <c r="N425" t="str">
        <f>IF(Table1[[#This Row],[Happiness_Index(1-10)]]&lt;=4,"Low",IF(Table1[[#This Row],[Happiness_Index(1-10)]]&lt;=7,"Normal","High"))</f>
        <v>High</v>
      </c>
    </row>
    <row r="426" spans="1:14" x14ac:dyDescent="0.25">
      <c r="A426" t="s">
        <v>443</v>
      </c>
      <c r="B426">
        <v>31</v>
      </c>
      <c r="C426" t="s">
        <v>19</v>
      </c>
      <c r="D426">
        <v>5</v>
      </c>
      <c r="E426">
        <v>7</v>
      </c>
      <c r="F426">
        <v>6</v>
      </c>
      <c r="G426">
        <v>3</v>
      </c>
      <c r="H426">
        <v>4</v>
      </c>
      <c r="I426" t="s">
        <v>20</v>
      </c>
      <c r="J426">
        <v>10</v>
      </c>
      <c r="K426" t="str">
        <f t="shared" si="6"/>
        <v>26–35</v>
      </c>
      <c r="L426" t="str">
        <f>IF(Table1[[#This Row],[Daily_Screen_Time(hrs)]]&lt;=3,"Low",IF(Table1[[#This Row],[Daily_Screen_Time(hrs)]]&lt;=6,"Medium","High"))</f>
        <v>Medium</v>
      </c>
      <c r="M426" t="str">
        <f>IF(Table1[[#This Row],[Stress_Level(1-10)]]&lt;=4,"Low",IF(Table1[[#This Row],[Stress_Level(1-10)]]&lt;=7,"Medium","High"))</f>
        <v>Medium</v>
      </c>
      <c r="N426" t="str">
        <f>IF(Table1[[#This Row],[Happiness_Index(1-10)]]&lt;=4,"Low",IF(Table1[[#This Row],[Happiness_Index(1-10)]]&lt;=7,"Normal","High"))</f>
        <v>High</v>
      </c>
    </row>
    <row r="427" spans="1:14" x14ac:dyDescent="0.25">
      <c r="A427" t="s">
        <v>444</v>
      </c>
      <c r="B427">
        <v>29</v>
      </c>
      <c r="C427" t="s">
        <v>19</v>
      </c>
      <c r="D427">
        <v>6.2</v>
      </c>
      <c r="E427">
        <v>6</v>
      </c>
      <c r="F427">
        <v>9</v>
      </c>
      <c r="G427">
        <v>2</v>
      </c>
      <c r="H427">
        <v>1</v>
      </c>
      <c r="I427" t="s">
        <v>17</v>
      </c>
      <c r="J427">
        <v>8</v>
      </c>
      <c r="K427" t="str">
        <f t="shared" si="6"/>
        <v>26–35</v>
      </c>
      <c r="L427" t="str">
        <f>IF(Table1[[#This Row],[Daily_Screen_Time(hrs)]]&lt;=3,"Low",IF(Table1[[#This Row],[Daily_Screen_Time(hrs)]]&lt;=6,"Medium","High"))</f>
        <v>High</v>
      </c>
      <c r="M427" t="str">
        <f>IF(Table1[[#This Row],[Stress_Level(1-10)]]&lt;=4,"Low",IF(Table1[[#This Row],[Stress_Level(1-10)]]&lt;=7,"Medium","High"))</f>
        <v>High</v>
      </c>
      <c r="N427" t="str">
        <f>IF(Table1[[#This Row],[Happiness_Index(1-10)]]&lt;=4,"Low",IF(Table1[[#This Row],[Happiness_Index(1-10)]]&lt;=7,"Normal","High"))</f>
        <v>High</v>
      </c>
    </row>
    <row r="428" spans="1:14" x14ac:dyDescent="0.25">
      <c r="A428" t="s">
        <v>445</v>
      </c>
      <c r="B428">
        <v>46</v>
      </c>
      <c r="C428" t="s">
        <v>19</v>
      </c>
      <c r="D428">
        <v>6.4</v>
      </c>
      <c r="E428">
        <v>6</v>
      </c>
      <c r="F428">
        <v>8</v>
      </c>
      <c r="G428">
        <v>5</v>
      </c>
      <c r="H428">
        <v>4</v>
      </c>
      <c r="I428" t="s">
        <v>22</v>
      </c>
      <c r="J428">
        <v>8</v>
      </c>
      <c r="K428" t="str">
        <f t="shared" si="6"/>
        <v>46+</v>
      </c>
      <c r="L428" t="str">
        <f>IF(Table1[[#This Row],[Daily_Screen_Time(hrs)]]&lt;=3,"Low",IF(Table1[[#This Row],[Daily_Screen_Time(hrs)]]&lt;=6,"Medium","High"))</f>
        <v>High</v>
      </c>
      <c r="M428" t="str">
        <f>IF(Table1[[#This Row],[Stress_Level(1-10)]]&lt;=4,"Low",IF(Table1[[#This Row],[Stress_Level(1-10)]]&lt;=7,"Medium","High"))</f>
        <v>High</v>
      </c>
      <c r="N428" t="str">
        <f>IF(Table1[[#This Row],[Happiness_Index(1-10)]]&lt;=4,"Low",IF(Table1[[#This Row],[Happiness_Index(1-10)]]&lt;=7,"Normal","High"))</f>
        <v>High</v>
      </c>
    </row>
    <row r="429" spans="1:14" x14ac:dyDescent="0.25">
      <c r="A429" t="s">
        <v>446</v>
      </c>
      <c r="B429">
        <v>20</v>
      </c>
      <c r="C429" t="s">
        <v>11</v>
      </c>
      <c r="D429">
        <v>3.2</v>
      </c>
      <c r="E429">
        <v>7</v>
      </c>
      <c r="F429">
        <v>5</v>
      </c>
      <c r="G429">
        <v>5</v>
      </c>
      <c r="H429">
        <v>1</v>
      </c>
      <c r="I429" t="s">
        <v>22</v>
      </c>
      <c r="J429">
        <v>9</v>
      </c>
      <c r="K429" t="str">
        <f t="shared" si="6"/>
        <v>15–25</v>
      </c>
      <c r="L429" t="str">
        <f>IF(Table1[[#This Row],[Daily_Screen_Time(hrs)]]&lt;=3,"Low",IF(Table1[[#This Row],[Daily_Screen_Time(hrs)]]&lt;=6,"Medium","High"))</f>
        <v>Medium</v>
      </c>
      <c r="M429" t="str">
        <f>IF(Table1[[#This Row],[Stress_Level(1-10)]]&lt;=4,"Low",IF(Table1[[#This Row],[Stress_Level(1-10)]]&lt;=7,"Medium","High"))</f>
        <v>Medium</v>
      </c>
      <c r="N429" t="str">
        <f>IF(Table1[[#This Row],[Happiness_Index(1-10)]]&lt;=4,"Low",IF(Table1[[#This Row],[Happiness_Index(1-10)]]&lt;=7,"Normal","High"))</f>
        <v>High</v>
      </c>
    </row>
    <row r="430" spans="1:14" x14ac:dyDescent="0.25">
      <c r="A430" t="s">
        <v>447</v>
      </c>
      <c r="B430">
        <v>38</v>
      </c>
      <c r="C430" t="s">
        <v>11</v>
      </c>
      <c r="D430">
        <v>7.6</v>
      </c>
      <c r="E430">
        <v>6</v>
      </c>
      <c r="F430">
        <v>9</v>
      </c>
      <c r="G430">
        <v>4</v>
      </c>
      <c r="H430">
        <v>3</v>
      </c>
      <c r="I430" t="s">
        <v>22</v>
      </c>
      <c r="J430">
        <v>8</v>
      </c>
      <c r="K430" t="str">
        <f t="shared" si="6"/>
        <v>36–45</v>
      </c>
      <c r="L430" t="str">
        <f>IF(Table1[[#This Row],[Daily_Screen_Time(hrs)]]&lt;=3,"Low",IF(Table1[[#This Row],[Daily_Screen_Time(hrs)]]&lt;=6,"Medium","High"))</f>
        <v>High</v>
      </c>
      <c r="M430" t="str">
        <f>IF(Table1[[#This Row],[Stress_Level(1-10)]]&lt;=4,"Low",IF(Table1[[#This Row],[Stress_Level(1-10)]]&lt;=7,"Medium","High"))</f>
        <v>High</v>
      </c>
      <c r="N430" t="str">
        <f>IF(Table1[[#This Row],[Happiness_Index(1-10)]]&lt;=4,"Low",IF(Table1[[#This Row],[Happiness_Index(1-10)]]&lt;=7,"Normal","High"))</f>
        <v>High</v>
      </c>
    </row>
    <row r="431" spans="1:14" x14ac:dyDescent="0.25">
      <c r="A431" t="s">
        <v>448</v>
      </c>
      <c r="B431">
        <v>44</v>
      </c>
      <c r="C431" t="s">
        <v>11</v>
      </c>
      <c r="D431">
        <v>5</v>
      </c>
      <c r="E431">
        <v>6</v>
      </c>
      <c r="F431">
        <v>5</v>
      </c>
      <c r="G431">
        <v>3</v>
      </c>
      <c r="H431">
        <v>1</v>
      </c>
      <c r="I431" t="s">
        <v>22</v>
      </c>
      <c r="J431">
        <v>10</v>
      </c>
      <c r="K431" t="str">
        <f t="shared" si="6"/>
        <v>36–45</v>
      </c>
      <c r="L431" t="str">
        <f>IF(Table1[[#This Row],[Daily_Screen_Time(hrs)]]&lt;=3,"Low",IF(Table1[[#This Row],[Daily_Screen_Time(hrs)]]&lt;=6,"Medium","High"))</f>
        <v>Medium</v>
      </c>
      <c r="M431" t="str">
        <f>IF(Table1[[#This Row],[Stress_Level(1-10)]]&lt;=4,"Low",IF(Table1[[#This Row],[Stress_Level(1-10)]]&lt;=7,"Medium","High"))</f>
        <v>Medium</v>
      </c>
      <c r="N431" t="str">
        <f>IF(Table1[[#This Row],[Happiness_Index(1-10)]]&lt;=4,"Low",IF(Table1[[#This Row],[Happiness_Index(1-10)]]&lt;=7,"Normal","High"))</f>
        <v>High</v>
      </c>
    </row>
    <row r="432" spans="1:14" x14ac:dyDescent="0.25">
      <c r="A432" t="s">
        <v>449</v>
      </c>
      <c r="B432">
        <v>26</v>
      </c>
      <c r="C432" t="s">
        <v>19</v>
      </c>
      <c r="D432">
        <v>5</v>
      </c>
      <c r="E432">
        <v>6</v>
      </c>
      <c r="F432">
        <v>6</v>
      </c>
      <c r="G432">
        <v>3</v>
      </c>
      <c r="H432">
        <v>1</v>
      </c>
      <c r="I432" t="s">
        <v>20</v>
      </c>
      <c r="J432">
        <v>10</v>
      </c>
      <c r="K432" t="str">
        <f t="shared" si="6"/>
        <v>26–35</v>
      </c>
      <c r="L432" t="str">
        <f>IF(Table1[[#This Row],[Daily_Screen_Time(hrs)]]&lt;=3,"Low",IF(Table1[[#This Row],[Daily_Screen_Time(hrs)]]&lt;=6,"Medium","High"))</f>
        <v>Medium</v>
      </c>
      <c r="M432" t="str">
        <f>IF(Table1[[#This Row],[Stress_Level(1-10)]]&lt;=4,"Low",IF(Table1[[#This Row],[Stress_Level(1-10)]]&lt;=7,"Medium","High"))</f>
        <v>Medium</v>
      </c>
      <c r="N432" t="str">
        <f>IF(Table1[[#This Row],[Happiness_Index(1-10)]]&lt;=4,"Low",IF(Table1[[#This Row],[Happiness_Index(1-10)]]&lt;=7,"Normal","High"))</f>
        <v>High</v>
      </c>
    </row>
    <row r="433" spans="1:14" x14ac:dyDescent="0.25">
      <c r="A433" t="s">
        <v>450</v>
      </c>
      <c r="B433">
        <v>33</v>
      </c>
      <c r="C433" t="s">
        <v>19</v>
      </c>
      <c r="D433">
        <v>6.9</v>
      </c>
      <c r="E433">
        <v>6</v>
      </c>
      <c r="F433">
        <v>7</v>
      </c>
      <c r="G433">
        <v>0</v>
      </c>
      <c r="H433">
        <v>4</v>
      </c>
      <c r="I433" t="s">
        <v>26</v>
      </c>
      <c r="J433">
        <v>7</v>
      </c>
      <c r="K433" t="str">
        <f t="shared" si="6"/>
        <v>26–35</v>
      </c>
      <c r="L433" t="str">
        <f>IF(Table1[[#This Row],[Daily_Screen_Time(hrs)]]&lt;=3,"Low",IF(Table1[[#This Row],[Daily_Screen_Time(hrs)]]&lt;=6,"Medium","High"))</f>
        <v>High</v>
      </c>
      <c r="M433" t="str">
        <f>IF(Table1[[#This Row],[Stress_Level(1-10)]]&lt;=4,"Low",IF(Table1[[#This Row],[Stress_Level(1-10)]]&lt;=7,"Medium","High"))</f>
        <v>Medium</v>
      </c>
      <c r="N433" t="str">
        <f>IF(Table1[[#This Row],[Happiness_Index(1-10)]]&lt;=4,"Low",IF(Table1[[#This Row],[Happiness_Index(1-10)]]&lt;=7,"Normal","High"))</f>
        <v>Normal</v>
      </c>
    </row>
    <row r="434" spans="1:14" x14ac:dyDescent="0.25">
      <c r="A434" t="s">
        <v>451</v>
      </c>
      <c r="B434">
        <v>27</v>
      </c>
      <c r="C434" t="s">
        <v>11</v>
      </c>
      <c r="D434">
        <v>6.8</v>
      </c>
      <c r="E434">
        <v>5</v>
      </c>
      <c r="F434">
        <v>8</v>
      </c>
      <c r="G434">
        <v>5</v>
      </c>
      <c r="H434">
        <v>4</v>
      </c>
      <c r="I434" t="s">
        <v>20</v>
      </c>
      <c r="J434">
        <v>7</v>
      </c>
      <c r="K434" t="str">
        <f t="shared" si="6"/>
        <v>26–35</v>
      </c>
      <c r="L434" t="str">
        <f>IF(Table1[[#This Row],[Daily_Screen_Time(hrs)]]&lt;=3,"Low",IF(Table1[[#This Row],[Daily_Screen_Time(hrs)]]&lt;=6,"Medium","High"))</f>
        <v>High</v>
      </c>
      <c r="M434" t="str">
        <f>IF(Table1[[#This Row],[Stress_Level(1-10)]]&lt;=4,"Low",IF(Table1[[#This Row],[Stress_Level(1-10)]]&lt;=7,"Medium","High"))</f>
        <v>High</v>
      </c>
      <c r="N434" t="str">
        <f>IF(Table1[[#This Row],[Happiness_Index(1-10)]]&lt;=4,"Low",IF(Table1[[#This Row],[Happiness_Index(1-10)]]&lt;=7,"Normal","High"))</f>
        <v>Normal</v>
      </c>
    </row>
    <row r="435" spans="1:14" x14ac:dyDescent="0.25">
      <c r="A435" t="s">
        <v>452</v>
      </c>
      <c r="B435">
        <v>24</v>
      </c>
      <c r="C435" t="s">
        <v>11</v>
      </c>
      <c r="D435">
        <v>4.2</v>
      </c>
      <c r="E435">
        <v>8</v>
      </c>
      <c r="F435">
        <v>7</v>
      </c>
      <c r="G435">
        <v>5</v>
      </c>
      <c r="H435">
        <v>3</v>
      </c>
      <c r="I435" t="s">
        <v>22</v>
      </c>
      <c r="J435">
        <v>7</v>
      </c>
      <c r="K435" t="str">
        <f t="shared" si="6"/>
        <v>15–25</v>
      </c>
      <c r="L435" t="str">
        <f>IF(Table1[[#This Row],[Daily_Screen_Time(hrs)]]&lt;=3,"Low",IF(Table1[[#This Row],[Daily_Screen_Time(hrs)]]&lt;=6,"Medium","High"))</f>
        <v>Medium</v>
      </c>
      <c r="M435" t="str">
        <f>IF(Table1[[#This Row],[Stress_Level(1-10)]]&lt;=4,"Low",IF(Table1[[#This Row],[Stress_Level(1-10)]]&lt;=7,"Medium","High"))</f>
        <v>Medium</v>
      </c>
      <c r="N435" t="str">
        <f>IF(Table1[[#This Row],[Happiness_Index(1-10)]]&lt;=4,"Low",IF(Table1[[#This Row],[Happiness_Index(1-10)]]&lt;=7,"Normal","High"))</f>
        <v>Normal</v>
      </c>
    </row>
    <row r="436" spans="1:14" x14ac:dyDescent="0.25">
      <c r="A436" t="s">
        <v>453</v>
      </c>
      <c r="B436">
        <v>25</v>
      </c>
      <c r="C436" t="s">
        <v>19</v>
      </c>
      <c r="D436">
        <v>6.9</v>
      </c>
      <c r="E436">
        <v>7</v>
      </c>
      <c r="F436">
        <v>7</v>
      </c>
      <c r="G436">
        <v>0</v>
      </c>
      <c r="H436">
        <v>2</v>
      </c>
      <c r="I436" t="s">
        <v>20</v>
      </c>
      <c r="J436">
        <v>9</v>
      </c>
      <c r="K436" t="str">
        <f t="shared" si="6"/>
        <v>15–25</v>
      </c>
      <c r="L436" t="str">
        <f>IF(Table1[[#This Row],[Daily_Screen_Time(hrs)]]&lt;=3,"Low",IF(Table1[[#This Row],[Daily_Screen_Time(hrs)]]&lt;=6,"Medium","High"))</f>
        <v>High</v>
      </c>
      <c r="M436" t="str">
        <f>IF(Table1[[#This Row],[Stress_Level(1-10)]]&lt;=4,"Low",IF(Table1[[#This Row],[Stress_Level(1-10)]]&lt;=7,"Medium","High"))</f>
        <v>Medium</v>
      </c>
      <c r="N436" t="str">
        <f>IF(Table1[[#This Row],[Happiness_Index(1-10)]]&lt;=4,"Low",IF(Table1[[#This Row],[Happiness_Index(1-10)]]&lt;=7,"Normal","High"))</f>
        <v>High</v>
      </c>
    </row>
    <row r="437" spans="1:14" x14ac:dyDescent="0.25">
      <c r="A437" t="s">
        <v>454</v>
      </c>
      <c r="B437">
        <v>32</v>
      </c>
      <c r="C437" t="s">
        <v>14</v>
      </c>
      <c r="D437">
        <v>4.5</v>
      </c>
      <c r="E437">
        <v>8</v>
      </c>
      <c r="F437">
        <v>5</v>
      </c>
      <c r="G437">
        <v>5</v>
      </c>
      <c r="H437">
        <v>0</v>
      </c>
      <c r="I437" t="s">
        <v>22</v>
      </c>
      <c r="J437">
        <v>10</v>
      </c>
      <c r="K437" t="str">
        <f t="shared" si="6"/>
        <v>26–35</v>
      </c>
      <c r="L437" t="str">
        <f>IF(Table1[[#This Row],[Daily_Screen_Time(hrs)]]&lt;=3,"Low",IF(Table1[[#This Row],[Daily_Screen_Time(hrs)]]&lt;=6,"Medium","High"))</f>
        <v>Medium</v>
      </c>
      <c r="M437" t="str">
        <f>IF(Table1[[#This Row],[Stress_Level(1-10)]]&lt;=4,"Low",IF(Table1[[#This Row],[Stress_Level(1-10)]]&lt;=7,"Medium","High"))</f>
        <v>Medium</v>
      </c>
      <c r="N437" t="str">
        <f>IF(Table1[[#This Row],[Happiness_Index(1-10)]]&lt;=4,"Low",IF(Table1[[#This Row],[Happiness_Index(1-10)]]&lt;=7,"Normal","High"))</f>
        <v>High</v>
      </c>
    </row>
    <row r="438" spans="1:14" x14ac:dyDescent="0.25">
      <c r="A438" t="s">
        <v>455</v>
      </c>
      <c r="B438">
        <v>22</v>
      </c>
      <c r="C438" t="s">
        <v>19</v>
      </c>
      <c r="D438">
        <v>8.8000000000000007</v>
      </c>
      <c r="E438">
        <v>2</v>
      </c>
      <c r="F438">
        <v>9</v>
      </c>
      <c r="G438">
        <v>4</v>
      </c>
      <c r="H438">
        <v>2</v>
      </c>
      <c r="I438" t="s">
        <v>12</v>
      </c>
      <c r="J438">
        <v>7</v>
      </c>
      <c r="K438" t="str">
        <f t="shared" si="6"/>
        <v>15–25</v>
      </c>
      <c r="L438" t="str">
        <f>IF(Table1[[#This Row],[Daily_Screen_Time(hrs)]]&lt;=3,"Low",IF(Table1[[#This Row],[Daily_Screen_Time(hrs)]]&lt;=6,"Medium","High"))</f>
        <v>High</v>
      </c>
      <c r="M438" t="str">
        <f>IF(Table1[[#This Row],[Stress_Level(1-10)]]&lt;=4,"Low",IF(Table1[[#This Row],[Stress_Level(1-10)]]&lt;=7,"Medium","High"))</f>
        <v>High</v>
      </c>
      <c r="N438" t="str">
        <f>IF(Table1[[#This Row],[Happiness_Index(1-10)]]&lt;=4,"Low",IF(Table1[[#This Row],[Happiness_Index(1-10)]]&lt;=7,"Normal","High"))</f>
        <v>Normal</v>
      </c>
    </row>
    <row r="439" spans="1:14" x14ac:dyDescent="0.25">
      <c r="A439" t="s">
        <v>456</v>
      </c>
      <c r="B439">
        <v>28</v>
      </c>
      <c r="C439" t="s">
        <v>11</v>
      </c>
      <c r="D439">
        <v>4</v>
      </c>
      <c r="E439">
        <v>7</v>
      </c>
      <c r="F439">
        <v>5</v>
      </c>
      <c r="G439">
        <v>1</v>
      </c>
      <c r="H439">
        <v>3</v>
      </c>
      <c r="I439" t="s">
        <v>15</v>
      </c>
      <c r="J439">
        <v>9</v>
      </c>
      <c r="K439" t="str">
        <f t="shared" si="6"/>
        <v>26–35</v>
      </c>
      <c r="L439" t="str">
        <f>IF(Table1[[#This Row],[Daily_Screen_Time(hrs)]]&lt;=3,"Low",IF(Table1[[#This Row],[Daily_Screen_Time(hrs)]]&lt;=6,"Medium","High"))</f>
        <v>Medium</v>
      </c>
      <c r="M439" t="str">
        <f>IF(Table1[[#This Row],[Stress_Level(1-10)]]&lt;=4,"Low",IF(Table1[[#This Row],[Stress_Level(1-10)]]&lt;=7,"Medium","High"))</f>
        <v>Medium</v>
      </c>
      <c r="N439" t="str">
        <f>IF(Table1[[#This Row],[Happiness_Index(1-10)]]&lt;=4,"Low",IF(Table1[[#This Row],[Happiness_Index(1-10)]]&lt;=7,"Normal","High"))</f>
        <v>High</v>
      </c>
    </row>
    <row r="440" spans="1:14" x14ac:dyDescent="0.25">
      <c r="A440" t="s">
        <v>457</v>
      </c>
      <c r="B440">
        <v>24</v>
      </c>
      <c r="C440" t="s">
        <v>11</v>
      </c>
      <c r="D440">
        <v>5.9</v>
      </c>
      <c r="E440">
        <v>7</v>
      </c>
      <c r="F440">
        <v>6</v>
      </c>
      <c r="G440">
        <v>1</v>
      </c>
      <c r="H440">
        <v>2</v>
      </c>
      <c r="I440" t="s">
        <v>26</v>
      </c>
      <c r="J440">
        <v>8</v>
      </c>
      <c r="K440" t="str">
        <f t="shared" si="6"/>
        <v>15–25</v>
      </c>
      <c r="L440" t="str">
        <f>IF(Table1[[#This Row],[Daily_Screen_Time(hrs)]]&lt;=3,"Low",IF(Table1[[#This Row],[Daily_Screen_Time(hrs)]]&lt;=6,"Medium","High"))</f>
        <v>Medium</v>
      </c>
      <c r="M440" t="str">
        <f>IF(Table1[[#This Row],[Stress_Level(1-10)]]&lt;=4,"Low",IF(Table1[[#This Row],[Stress_Level(1-10)]]&lt;=7,"Medium","High"))</f>
        <v>Medium</v>
      </c>
      <c r="N440" t="str">
        <f>IF(Table1[[#This Row],[Happiness_Index(1-10)]]&lt;=4,"Low",IF(Table1[[#This Row],[Happiness_Index(1-10)]]&lt;=7,"Normal","High"))</f>
        <v>High</v>
      </c>
    </row>
    <row r="441" spans="1:14" x14ac:dyDescent="0.25">
      <c r="A441" t="s">
        <v>458</v>
      </c>
      <c r="B441">
        <v>42</v>
      </c>
      <c r="C441" t="s">
        <v>11</v>
      </c>
      <c r="D441">
        <v>4.0999999999999996</v>
      </c>
      <c r="E441">
        <v>6</v>
      </c>
      <c r="F441">
        <v>6</v>
      </c>
      <c r="G441">
        <v>4</v>
      </c>
      <c r="H441">
        <v>2</v>
      </c>
      <c r="I441" t="s">
        <v>12</v>
      </c>
      <c r="J441">
        <v>9</v>
      </c>
      <c r="K441" t="str">
        <f t="shared" si="6"/>
        <v>36–45</v>
      </c>
      <c r="L441" t="str">
        <f>IF(Table1[[#This Row],[Daily_Screen_Time(hrs)]]&lt;=3,"Low",IF(Table1[[#This Row],[Daily_Screen_Time(hrs)]]&lt;=6,"Medium","High"))</f>
        <v>Medium</v>
      </c>
      <c r="M441" t="str">
        <f>IF(Table1[[#This Row],[Stress_Level(1-10)]]&lt;=4,"Low",IF(Table1[[#This Row],[Stress_Level(1-10)]]&lt;=7,"Medium","High"))</f>
        <v>Medium</v>
      </c>
      <c r="N441" t="str">
        <f>IF(Table1[[#This Row],[Happiness_Index(1-10)]]&lt;=4,"Low",IF(Table1[[#This Row],[Happiness_Index(1-10)]]&lt;=7,"Normal","High"))</f>
        <v>High</v>
      </c>
    </row>
    <row r="442" spans="1:14" x14ac:dyDescent="0.25">
      <c r="A442" t="s">
        <v>459</v>
      </c>
      <c r="B442">
        <v>17</v>
      </c>
      <c r="C442" t="s">
        <v>19</v>
      </c>
      <c r="D442">
        <v>9.5</v>
      </c>
      <c r="E442">
        <v>4</v>
      </c>
      <c r="F442">
        <v>9</v>
      </c>
      <c r="G442">
        <v>2</v>
      </c>
      <c r="H442">
        <v>2</v>
      </c>
      <c r="I442" t="s">
        <v>17</v>
      </c>
      <c r="J442">
        <v>4</v>
      </c>
      <c r="K442" t="str">
        <f t="shared" si="6"/>
        <v>15–25</v>
      </c>
      <c r="L442" t="str">
        <f>IF(Table1[[#This Row],[Daily_Screen_Time(hrs)]]&lt;=3,"Low",IF(Table1[[#This Row],[Daily_Screen_Time(hrs)]]&lt;=6,"Medium","High"))</f>
        <v>High</v>
      </c>
      <c r="M442" t="str">
        <f>IF(Table1[[#This Row],[Stress_Level(1-10)]]&lt;=4,"Low",IF(Table1[[#This Row],[Stress_Level(1-10)]]&lt;=7,"Medium","High"))</f>
        <v>High</v>
      </c>
      <c r="N442" t="str">
        <f>IF(Table1[[#This Row],[Happiness_Index(1-10)]]&lt;=4,"Low",IF(Table1[[#This Row],[Happiness_Index(1-10)]]&lt;=7,"Normal","High"))</f>
        <v>Low</v>
      </c>
    </row>
    <row r="443" spans="1:14" x14ac:dyDescent="0.25">
      <c r="A443" t="s">
        <v>460</v>
      </c>
      <c r="B443">
        <v>20</v>
      </c>
      <c r="C443" t="s">
        <v>11</v>
      </c>
      <c r="D443">
        <v>3.3</v>
      </c>
      <c r="E443">
        <v>8</v>
      </c>
      <c r="F443">
        <v>4</v>
      </c>
      <c r="G443">
        <v>7</v>
      </c>
      <c r="H443">
        <v>2</v>
      </c>
      <c r="I443" t="s">
        <v>20</v>
      </c>
      <c r="J443">
        <v>10</v>
      </c>
      <c r="K443" t="str">
        <f t="shared" si="6"/>
        <v>15–25</v>
      </c>
      <c r="L443" t="str">
        <f>IF(Table1[[#This Row],[Daily_Screen_Time(hrs)]]&lt;=3,"Low",IF(Table1[[#This Row],[Daily_Screen_Time(hrs)]]&lt;=6,"Medium","High"))</f>
        <v>Medium</v>
      </c>
      <c r="M443" t="str">
        <f>IF(Table1[[#This Row],[Stress_Level(1-10)]]&lt;=4,"Low",IF(Table1[[#This Row],[Stress_Level(1-10)]]&lt;=7,"Medium","High"))</f>
        <v>Low</v>
      </c>
      <c r="N443" t="str">
        <f>IF(Table1[[#This Row],[Happiness_Index(1-10)]]&lt;=4,"Low",IF(Table1[[#This Row],[Happiness_Index(1-10)]]&lt;=7,"Normal","High"))</f>
        <v>High</v>
      </c>
    </row>
    <row r="444" spans="1:14" x14ac:dyDescent="0.25">
      <c r="A444" t="s">
        <v>461</v>
      </c>
      <c r="B444">
        <v>44</v>
      </c>
      <c r="C444" t="s">
        <v>19</v>
      </c>
      <c r="D444">
        <v>6.4</v>
      </c>
      <c r="E444">
        <v>5</v>
      </c>
      <c r="F444">
        <v>6</v>
      </c>
      <c r="G444">
        <v>5</v>
      </c>
      <c r="H444">
        <v>3</v>
      </c>
      <c r="I444" t="s">
        <v>17</v>
      </c>
      <c r="J444">
        <v>6</v>
      </c>
      <c r="K444" t="str">
        <f t="shared" si="6"/>
        <v>36–45</v>
      </c>
      <c r="L444" t="str">
        <f>IF(Table1[[#This Row],[Daily_Screen_Time(hrs)]]&lt;=3,"Low",IF(Table1[[#This Row],[Daily_Screen_Time(hrs)]]&lt;=6,"Medium","High"))</f>
        <v>High</v>
      </c>
      <c r="M444" t="str">
        <f>IF(Table1[[#This Row],[Stress_Level(1-10)]]&lt;=4,"Low",IF(Table1[[#This Row],[Stress_Level(1-10)]]&lt;=7,"Medium","High"))</f>
        <v>Medium</v>
      </c>
      <c r="N444" t="str">
        <f>IF(Table1[[#This Row],[Happiness_Index(1-10)]]&lt;=4,"Low",IF(Table1[[#This Row],[Happiness_Index(1-10)]]&lt;=7,"Normal","High"))</f>
        <v>Normal</v>
      </c>
    </row>
    <row r="445" spans="1:14" x14ac:dyDescent="0.25">
      <c r="A445" t="s">
        <v>462</v>
      </c>
      <c r="B445">
        <v>34</v>
      </c>
      <c r="C445" t="s">
        <v>11</v>
      </c>
      <c r="D445">
        <v>4.2</v>
      </c>
      <c r="E445">
        <v>8</v>
      </c>
      <c r="F445">
        <v>4</v>
      </c>
      <c r="G445">
        <v>4</v>
      </c>
      <c r="H445">
        <v>2</v>
      </c>
      <c r="I445" t="s">
        <v>20</v>
      </c>
      <c r="J445">
        <v>10</v>
      </c>
      <c r="K445" t="str">
        <f t="shared" si="6"/>
        <v>26–35</v>
      </c>
      <c r="L445" t="str">
        <f>IF(Table1[[#This Row],[Daily_Screen_Time(hrs)]]&lt;=3,"Low",IF(Table1[[#This Row],[Daily_Screen_Time(hrs)]]&lt;=6,"Medium","High"))</f>
        <v>Medium</v>
      </c>
      <c r="M445" t="str">
        <f>IF(Table1[[#This Row],[Stress_Level(1-10)]]&lt;=4,"Low",IF(Table1[[#This Row],[Stress_Level(1-10)]]&lt;=7,"Medium","High"))</f>
        <v>Low</v>
      </c>
      <c r="N445" t="str">
        <f>IF(Table1[[#This Row],[Happiness_Index(1-10)]]&lt;=4,"Low",IF(Table1[[#This Row],[Happiness_Index(1-10)]]&lt;=7,"Normal","High"))</f>
        <v>High</v>
      </c>
    </row>
    <row r="446" spans="1:14" x14ac:dyDescent="0.25">
      <c r="A446" t="s">
        <v>463</v>
      </c>
      <c r="B446">
        <v>23</v>
      </c>
      <c r="C446" t="s">
        <v>19</v>
      </c>
      <c r="D446">
        <v>4.9000000000000004</v>
      </c>
      <c r="E446">
        <v>7</v>
      </c>
      <c r="F446">
        <v>7</v>
      </c>
      <c r="G446">
        <v>4</v>
      </c>
      <c r="H446">
        <v>5</v>
      </c>
      <c r="I446" t="s">
        <v>15</v>
      </c>
      <c r="J446">
        <v>7</v>
      </c>
      <c r="K446" t="str">
        <f t="shared" si="6"/>
        <v>15–25</v>
      </c>
      <c r="L446" t="str">
        <f>IF(Table1[[#This Row],[Daily_Screen_Time(hrs)]]&lt;=3,"Low",IF(Table1[[#This Row],[Daily_Screen_Time(hrs)]]&lt;=6,"Medium","High"))</f>
        <v>Medium</v>
      </c>
      <c r="M446" t="str">
        <f>IF(Table1[[#This Row],[Stress_Level(1-10)]]&lt;=4,"Low",IF(Table1[[#This Row],[Stress_Level(1-10)]]&lt;=7,"Medium","High"))</f>
        <v>Medium</v>
      </c>
      <c r="N446" t="str">
        <f>IF(Table1[[#This Row],[Happiness_Index(1-10)]]&lt;=4,"Low",IF(Table1[[#This Row],[Happiness_Index(1-10)]]&lt;=7,"Normal","High"))</f>
        <v>Normal</v>
      </c>
    </row>
    <row r="447" spans="1:14" x14ac:dyDescent="0.25">
      <c r="A447" t="s">
        <v>464</v>
      </c>
      <c r="B447">
        <v>16</v>
      </c>
      <c r="C447" t="s">
        <v>19</v>
      </c>
      <c r="D447">
        <v>6.3</v>
      </c>
      <c r="E447">
        <v>6</v>
      </c>
      <c r="F447">
        <v>7</v>
      </c>
      <c r="G447">
        <v>6</v>
      </c>
      <c r="H447">
        <v>0</v>
      </c>
      <c r="I447" t="s">
        <v>12</v>
      </c>
      <c r="J447">
        <v>8</v>
      </c>
      <c r="K447" t="str">
        <f t="shared" si="6"/>
        <v>15–25</v>
      </c>
      <c r="L447" t="str">
        <f>IF(Table1[[#This Row],[Daily_Screen_Time(hrs)]]&lt;=3,"Low",IF(Table1[[#This Row],[Daily_Screen_Time(hrs)]]&lt;=6,"Medium","High"))</f>
        <v>High</v>
      </c>
      <c r="M447" t="str">
        <f>IF(Table1[[#This Row],[Stress_Level(1-10)]]&lt;=4,"Low",IF(Table1[[#This Row],[Stress_Level(1-10)]]&lt;=7,"Medium","High"))</f>
        <v>Medium</v>
      </c>
      <c r="N447" t="str">
        <f>IF(Table1[[#This Row],[Happiness_Index(1-10)]]&lt;=4,"Low",IF(Table1[[#This Row],[Happiness_Index(1-10)]]&lt;=7,"Normal","High"))</f>
        <v>High</v>
      </c>
    </row>
    <row r="448" spans="1:14" x14ac:dyDescent="0.25">
      <c r="A448" t="s">
        <v>465</v>
      </c>
      <c r="B448">
        <v>37</v>
      </c>
      <c r="C448" t="s">
        <v>19</v>
      </c>
      <c r="D448">
        <v>7.7</v>
      </c>
      <c r="E448">
        <v>4</v>
      </c>
      <c r="F448">
        <v>8</v>
      </c>
      <c r="G448">
        <v>5</v>
      </c>
      <c r="H448">
        <v>2</v>
      </c>
      <c r="I448" t="s">
        <v>15</v>
      </c>
      <c r="J448">
        <v>8</v>
      </c>
      <c r="K448" t="str">
        <f t="shared" si="6"/>
        <v>36–45</v>
      </c>
      <c r="L448" t="str">
        <f>IF(Table1[[#This Row],[Daily_Screen_Time(hrs)]]&lt;=3,"Low",IF(Table1[[#This Row],[Daily_Screen_Time(hrs)]]&lt;=6,"Medium","High"))</f>
        <v>High</v>
      </c>
      <c r="M448" t="str">
        <f>IF(Table1[[#This Row],[Stress_Level(1-10)]]&lt;=4,"Low",IF(Table1[[#This Row],[Stress_Level(1-10)]]&lt;=7,"Medium","High"))</f>
        <v>High</v>
      </c>
      <c r="N448" t="str">
        <f>IF(Table1[[#This Row],[Happiness_Index(1-10)]]&lt;=4,"Low",IF(Table1[[#This Row],[Happiness_Index(1-10)]]&lt;=7,"Normal","High"))</f>
        <v>High</v>
      </c>
    </row>
    <row r="449" spans="1:14" x14ac:dyDescent="0.25">
      <c r="A449" t="s">
        <v>466</v>
      </c>
      <c r="B449">
        <v>32</v>
      </c>
      <c r="C449" t="s">
        <v>11</v>
      </c>
      <c r="D449">
        <v>8.4</v>
      </c>
      <c r="E449">
        <v>5</v>
      </c>
      <c r="F449">
        <v>9</v>
      </c>
      <c r="G449">
        <v>4</v>
      </c>
      <c r="H449">
        <v>1</v>
      </c>
      <c r="I449" t="s">
        <v>22</v>
      </c>
      <c r="J449">
        <v>7</v>
      </c>
      <c r="K449" t="str">
        <f t="shared" si="6"/>
        <v>26–35</v>
      </c>
      <c r="L449" t="str">
        <f>IF(Table1[[#This Row],[Daily_Screen_Time(hrs)]]&lt;=3,"Low",IF(Table1[[#This Row],[Daily_Screen_Time(hrs)]]&lt;=6,"Medium","High"))</f>
        <v>High</v>
      </c>
      <c r="M449" t="str">
        <f>IF(Table1[[#This Row],[Stress_Level(1-10)]]&lt;=4,"Low",IF(Table1[[#This Row],[Stress_Level(1-10)]]&lt;=7,"Medium","High"))</f>
        <v>High</v>
      </c>
      <c r="N449" t="str">
        <f>IF(Table1[[#This Row],[Happiness_Index(1-10)]]&lt;=4,"Low",IF(Table1[[#This Row],[Happiness_Index(1-10)]]&lt;=7,"Normal","High"))</f>
        <v>Normal</v>
      </c>
    </row>
    <row r="450" spans="1:14" x14ac:dyDescent="0.25">
      <c r="A450" t="s">
        <v>467</v>
      </c>
      <c r="B450">
        <v>22</v>
      </c>
      <c r="C450" t="s">
        <v>11</v>
      </c>
      <c r="D450">
        <v>2.7</v>
      </c>
      <c r="E450">
        <v>6</v>
      </c>
      <c r="F450">
        <v>6</v>
      </c>
      <c r="G450">
        <v>1</v>
      </c>
      <c r="H450">
        <v>3</v>
      </c>
      <c r="I450" t="s">
        <v>15</v>
      </c>
      <c r="J450">
        <v>8</v>
      </c>
      <c r="K450" t="str">
        <f t="shared" ref="K450:K501" si="7">IF(B450&lt;=25,"15–25",IF(B450&lt;=35,"26–35",IF(B450&lt;=45,"36–45","46+")))</f>
        <v>15–25</v>
      </c>
      <c r="L450" t="str">
        <f>IF(Table1[[#This Row],[Daily_Screen_Time(hrs)]]&lt;=3,"Low",IF(Table1[[#This Row],[Daily_Screen_Time(hrs)]]&lt;=6,"Medium","High"))</f>
        <v>Low</v>
      </c>
      <c r="M450" t="str">
        <f>IF(Table1[[#This Row],[Stress_Level(1-10)]]&lt;=4,"Low",IF(Table1[[#This Row],[Stress_Level(1-10)]]&lt;=7,"Medium","High"))</f>
        <v>Medium</v>
      </c>
      <c r="N450" t="str">
        <f>IF(Table1[[#This Row],[Happiness_Index(1-10)]]&lt;=4,"Low",IF(Table1[[#This Row],[Happiness_Index(1-10)]]&lt;=7,"Normal","High"))</f>
        <v>High</v>
      </c>
    </row>
    <row r="451" spans="1:14" x14ac:dyDescent="0.25">
      <c r="A451" t="s">
        <v>468</v>
      </c>
      <c r="B451">
        <v>40</v>
      </c>
      <c r="C451" t="s">
        <v>11</v>
      </c>
      <c r="D451">
        <v>6</v>
      </c>
      <c r="E451">
        <v>4</v>
      </c>
      <c r="F451">
        <v>6</v>
      </c>
      <c r="G451">
        <v>9</v>
      </c>
      <c r="H451">
        <v>3</v>
      </c>
      <c r="I451" t="s">
        <v>15</v>
      </c>
      <c r="J451">
        <v>8</v>
      </c>
      <c r="K451" t="str">
        <f t="shared" si="7"/>
        <v>36–45</v>
      </c>
      <c r="L451" t="str">
        <f>IF(Table1[[#This Row],[Daily_Screen_Time(hrs)]]&lt;=3,"Low",IF(Table1[[#This Row],[Daily_Screen_Time(hrs)]]&lt;=6,"Medium","High"))</f>
        <v>Medium</v>
      </c>
      <c r="M451" t="str">
        <f>IF(Table1[[#This Row],[Stress_Level(1-10)]]&lt;=4,"Low",IF(Table1[[#This Row],[Stress_Level(1-10)]]&lt;=7,"Medium","High"))</f>
        <v>Medium</v>
      </c>
      <c r="N451" t="str">
        <f>IF(Table1[[#This Row],[Happiness_Index(1-10)]]&lt;=4,"Low",IF(Table1[[#This Row],[Happiness_Index(1-10)]]&lt;=7,"Normal","High"))</f>
        <v>High</v>
      </c>
    </row>
    <row r="452" spans="1:14" x14ac:dyDescent="0.25">
      <c r="A452" t="s">
        <v>469</v>
      </c>
      <c r="B452">
        <v>19</v>
      </c>
      <c r="C452" t="s">
        <v>19</v>
      </c>
      <c r="D452">
        <v>8.1</v>
      </c>
      <c r="E452">
        <v>5</v>
      </c>
      <c r="F452">
        <v>9</v>
      </c>
      <c r="G452">
        <v>1</v>
      </c>
      <c r="H452">
        <v>5</v>
      </c>
      <c r="I452" t="s">
        <v>22</v>
      </c>
      <c r="J452">
        <v>7</v>
      </c>
      <c r="K452" t="str">
        <f t="shared" si="7"/>
        <v>15–25</v>
      </c>
      <c r="L452" t="str">
        <f>IF(Table1[[#This Row],[Daily_Screen_Time(hrs)]]&lt;=3,"Low",IF(Table1[[#This Row],[Daily_Screen_Time(hrs)]]&lt;=6,"Medium","High"))</f>
        <v>High</v>
      </c>
      <c r="M452" t="str">
        <f>IF(Table1[[#This Row],[Stress_Level(1-10)]]&lt;=4,"Low",IF(Table1[[#This Row],[Stress_Level(1-10)]]&lt;=7,"Medium","High"))</f>
        <v>High</v>
      </c>
      <c r="N452" t="str">
        <f>IF(Table1[[#This Row],[Happiness_Index(1-10)]]&lt;=4,"Low",IF(Table1[[#This Row],[Happiness_Index(1-10)]]&lt;=7,"Normal","High"))</f>
        <v>Normal</v>
      </c>
    </row>
    <row r="453" spans="1:14" x14ac:dyDescent="0.25">
      <c r="A453" t="s">
        <v>470</v>
      </c>
      <c r="B453">
        <v>21</v>
      </c>
      <c r="C453" t="s">
        <v>19</v>
      </c>
      <c r="D453">
        <v>2.5</v>
      </c>
      <c r="E453">
        <v>9</v>
      </c>
      <c r="F453">
        <v>3</v>
      </c>
      <c r="G453">
        <v>2</v>
      </c>
      <c r="H453">
        <v>5</v>
      </c>
      <c r="I453" t="s">
        <v>20</v>
      </c>
      <c r="J453">
        <v>10</v>
      </c>
      <c r="K453" t="str">
        <f t="shared" si="7"/>
        <v>15–25</v>
      </c>
      <c r="L453" t="str">
        <f>IF(Table1[[#This Row],[Daily_Screen_Time(hrs)]]&lt;=3,"Low",IF(Table1[[#This Row],[Daily_Screen_Time(hrs)]]&lt;=6,"Medium","High"))</f>
        <v>Low</v>
      </c>
      <c r="M453" t="str">
        <f>IF(Table1[[#This Row],[Stress_Level(1-10)]]&lt;=4,"Low",IF(Table1[[#This Row],[Stress_Level(1-10)]]&lt;=7,"Medium","High"))</f>
        <v>Low</v>
      </c>
      <c r="N453" t="str">
        <f>IF(Table1[[#This Row],[Happiness_Index(1-10)]]&lt;=4,"Low",IF(Table1[[#This Row],[Happiness_Index(1-10)]]&lt;=7,"Normal","High"))</f>
        <v>High</v>
      </c>
    </row>
    <row r="454" spans="1:14" x14ac:dyDescent="0.25">
      <c r="A454" t="s">
        <v>471</v>
      </c>
      <c r="B454">
        <v>46</v>
      </c>
      <c r="C454" t="s">
        <v>19</v>
      </c>
      <c r="D454">
        <v>6.1</v>
      </c>
      <c r="E454">
        <v>6</v>
      </c>
      <c r="F454">
        <v>8</v>
      </c>
      <c r="G454">
        <v>0</v>
      </c>
      <c r="H454">
        <v>1</v>
      </c>
      <c r="I454" t="s">
        <v>22</v>
      </c>
      <c r="J454">
        <v>6</v>
      </c>
      <c r="K454" t="str">
        <f t="shared" si="7"/>
        <v>46+</v>
      </c>
      <c r="L454" t="str">
        <f>IF(Table1[[#This Row],[Daily_Screen_Time(hrs)]]&lt;=3,"Low",IF(Table1[[#This Row],[Daily_Screen_Time(hrs)]]&lt;=6,"Medium","High"))</f>
        <v>High</v>
      </c>
      <c r="M454" t="str">
        <f>IF(Table1[[#This Row],[Stress_Level(1-10)]]&lt;=4,"Low",IF(Table1[[#This Row],[Stress_Level(1-10)]]&lt;=7,"Medium","High"))</f>
        <v>High</v>
      </c>
      <c r="N454" t="str">
        <f>IF(Table1[[#This Row],[Happiness_Index(1-10)]]&lt;=4,"Low",IF(Table1[[#This Row],[Happiness_Index(1-10)]]&lt;=7,"Normal","High"))</f>
        <v>Normal</v>
      </c>
    </row>
    <row r="455" spans="1:14" x14ac:dyDescent="0.25">
      <c r="A455" t="s">
        <v>472</v>
      </c>
      <c r="B455">
        <v>34</v>
      </c>
      <c r="C455" t="s">
        <v>19</v>
      </c>
      <c r="D455">
        <v>5.5</v>
      </c>
      <c r="E455">
        <v>6</v>
      </c>
      <c r="F455">
        <v>5</v>
      </c>
      <c r="G455">
        <v>4</v>
      </c>
      <c r="H455">
        <v>3</v>
      </c>
      <c r="I455" t="s">
        <v>12</v>
      </c>
      <c r="J455">
        <v>10</v>
      </c>
      <c r="K455" t="str">
        <f t="shared" si="7"/>
        <v>26–35</v>
      </c>
      <c r="L455" t="str">
        <f>IF(Table1[[#This Row],[Daily_Screen_Time(hrs)]]&lt;=3,"Low",IF(Table1[[#This Row],[Daily_Screen_Time(hrs)]]&lt;=6,"Medium","High"))</f>
        <v>Medium</v>
      </c>
      <c r="M455" t="str">
        <f>IF(Table1[[#This Row],[Stress_Level(1-10)]]&lt;=4,"Low",IF(Table1[[#This Row],[Stress_Level(1-10)]]&lt;=7,"Medium","High"))</f>
        <v>Medium</v>
      </c>
      <c r="N455" t="str">
        <f>IF(Table1[[#This Row],[Happiness_Index(1-10)]]&lt;=4,"Low",IF(Table1[[#This Row],[Happiness_Index(1-10)]]&lt;=7,"Normal","High"))</f>
        <v>High</v>
      </c>
    </row>
    <row r="456" spans="1:14" x14ac:dyDescent="0.25">
      <c r="A456" t="s">
        <v>473</v>
      </c>
      <c r="B456">
        <v>42</v>
      </c>
      <c r="C456" t="s">
        <v>19</v>
      </c>
      <c r="D456">
        <v>6.2</v>
      </c>
      <c r="E456">
        <v>6</v>
      </c>
      <c r="F456">
        <v>6</v>
      </c>
      <c r="G456">
        <v>3</v>
      </c>
      <c r="H456">
        <v>3</v>
      </c>
      <c r="I456" t="s">
        <v>15</v>
      </c>
      <c r="J456">
        <v>6</v>
      </c>
      <c r="K456" t="str">
        <f t="shared" si="7"/>
        <v>36–45</v>
      </c>
      <c r="L456" t="str">
        <f>IF(Table1[[#This Row],[Daily_Screen_Time(hrs)]]&lt;=3,"Low",IF(Table1[[#This Row],[Daily_Screen_Time(hrs)]]&lt;=6,"Medium","High"))</f>
        <v>High</v>
      </c>
      <c r="M456" t="str">
        <f>IF(Table1[[#This Row],[Stress_Level(1-10)]]&lt;=4,"Low",IF(Table1[[#This Row],[Stress_Level(1-10)]]&lt;=7,"Medium","High"))</f>
        <v>Medium</v>
      </c>
      <c r="N456" t="str">
        <f>IF(Table1[[#This Row],[Happiness_Index(1-10)]]&lt;=4,"Low",IF(Table1[[#This Row],[Happiness_Index(1-10)]]&lt;=7,"Normal","High"))</f>
        <v>Normal</v>
      </c>
    </row>
    <row r="457" spans="1:14" x14ac:dyDescent="0.25">
      <c r="A457" t="s">
        <v>474</v>
      </c>
      <c r="B457">
        <v>25</v>
      </c>
      <c r="C457" t="s">
        <v>11</v>
      </c>
      <c r="D457">
        <v>4.0999999999999996</v>
      </c>
      <c r="E457">
        <v>6</v>
      </c>
      <c r="F457">
        <v>5</v>
      </c>
      <c r="G457">
        <v>5</v>
      </c>
      <c r="H457">
        <v>1</v>
      </c>
      <c r="I457" t="s">
        <v>22</v>
      </c>
      <c r="J457">
        <v>9</v>
      </c>
      <c r="K457" t="str">
        <f t="shared" si="7"/>
        <v>15–25</v>
      </c>
      <c r="L457" t="str">
        <f>IF(Table1[[#This Row],[Daily_Screen_Time(hrs)]]&lt;=3,"Low",IF(Table1[[#This Row],[Daily_Screen_Time(hrs)]]&lt;=6,"Medium","High"))</f>
        <v>Medium</v>
      </c>
      <c r="M457" t="str">
        <f>IF(Table1[[#This Row],[Stress_Level(1-10)]]&lt;=4,"Low",IF(Table1[[#This Row],[Stress_Level(1-10)]]&lt;=7,"Medium","High"))</f>
        <v>Medium</v>
      </c>
      <c r="N457" t="str">
        <f>IF(Table1[[#This Row],[Happiness_Index(1-10)]]&lt;=4,"Low",IF(Table1[[#This Row],[Happiness_Index(1-10)]]&lt;=7,"Normal","High"))</f>
        <v>High</v>
      </c>
    </row>
    <row r="458" spans="1:14" x14ac:dyDescent="0.25">
      <c r="A458" t="s">
        <v>475</v>
      </c>
      <c r="B458">
        <v>41</v>
      </c>
      <c r="C458" t="s">
        <v>19</v>
      </c>
      <c r="D458">
        <v>2.9</v>
      </c>
      <c r="E458">
        <v>8</v>
      </c>
      <c r="F458">
        <v>3</v>
      </c>
      <c r="G458">
        <v>0</v>
      </c>
      <c r="H458">
        <v>3</v>
      </c>
      <c r="I458" t="s">
        <v>15</v>
      </c>
      <c r="J458">
        <v>10</v>
      </c>
      <c r="K458" t="str">
        <f t="shared" si="7"/>
        <v>36–45</v>
      </c>
      <c r="L458" t="str">
        <f>IF(Table1[[#This Row],[Daily_Screen_Time(hrs)]]&lt;=3,"Low",IF(Table1[[#This Row],[Daily_Screen_Time(hrs)]]&lt;=6,"Medium","High"))</f>
        <v>Low</v>
      </c>
      <c r="M458" t="str">
        <f>IF(Table1[[#This Row],[Stress_Level(1-10)]]&lt;=4,"Low",IF(Table1[[#This Row],[Stress_Level(1-10)]]&lt;=7,"Medium","High"))</f>
        <v>Low</v>
      </c>
      <c r="N458" t="str">
        <f>IF(Table1[[#This Row],[Happiness_Index(1-10)]]&lt;=4,"Low",IF(Table1[[#This Row],[Happiness_Index(1-10)]]&lt;=7,"Normal","High"))</f>
        <v>High</v>
      </c>
    </row>
    <row r="459" spans="1:14" x14ac:dyDescent="0.25">
      <c r="A459" t="s">
        <v>476</v>
      </c>
      <c r="B459">
        <v>34</v>
      </c>
      <c r="C459" t="s">
        <v>11</v>
      </c>
      <c r="D459">
        <v>2.1</v>
      </c>
      <c r="E459">
        <v>9</v>
      </c>
      <c r="F459">
        <v>4</v>
      </c>
      <c r="G459">
        <v>5</v>
      </c>
      <c r="H459">
        <v>2</v>
      </c>
      <c r="I459" t="s">
        <v>12</v>
      </c>
      <c r="J459">
        <v>10</v>
      </c>
      <c r="K459" t="str">
        <f t="shared" si="7"/>
        <v>26–35</v>
      </c>
      <c r="L459" t="str">
        <f>IF(Table1[[#This Row],[Daily_Screen_Time(hrs)]]&lt;=3,"Low",IF(Table1[[#This Row],[Daily_Screen_Time(hrs)]]&lt;=6,"Medium","High"))</f>
        <v>Low</v>
      </c>
      <c r="M459" t="str">
        <f>IF(Table1[[#This Row],[Stress_Level(1-10)]]&lt;=4,"Low",IF(Table1[[#This Row],[Stress_Level(1-10)]]&lt;=7,"Medium","High"))</f>
        <v>Low</v>
      </c>
      <c r="N459" t="str">
        <f>IF(Table1[[#This Row],[Happiness_Index(1-10)]]&lt;=4,"Low",IF(Table1[[#This Row],[Happiness_Index(1-10)]]&lt;=7,"Normal","High"))</f>
        <v>High</v>
      </c>
    </row>
    <row r="460" spans="1:14" x14ac:dyDescent="0.25">
      <c r="A460" t="s">
        <v>477</v>
      </c>
      <c r="B460">
        <v>18</v>
      </c>
      <c r="C460" t="s">
        <v>11</v>
      </c>
      <c r="D460">
        <v>7.3</v>
      </c>
      <c r="E460">
        <v>5</v>
      </c>
      <c r="F460">
        <v>8</v>
      </c>
      <c r="G460">
        <v>1</v>
      </c>
      <c r="H460">
        <v>1</v>
      </c>
      <c r="I460" t="s">
        <v>17</v>
      </c>
      <c r="J460">
        <v>7</v>
      </c>
      <c r="K460" t="str">
        <f t="shared" si="7"/>
        <v>15–25</v>
      </c>
      <c r="L460" t="str">
        <f>IF(Table1[[#This Row],[Daily_Screen_Time(hrs)]]&lt;=3,"Low",IF(Table1[[#This Row],[Daily_Screen_Time(hrs)]]&lt;=6,"Medium","High"))</f>
        <v>High</v>
      </c>
      <c r="M460" t="str">
        <f>IF(Table1[[#This Row],[Stress_Level(1-10)]]&lt;=4,"Low",IF(Table1[[#This Row],[Stress_Level(1-10)]]&lt;=7,"Medium","High"))</f>
        <v>High</v>
      </c>
      <c r="N460" t="str">
        <f>IF(Table1[[#This Row],[Happiness_Index(1-10)]]&lt;=4,"Low",IF(Table1[[#This Row],[Happiness_Index(1-10)]]&lt;=7,"Normal","High"))</f>
        <v>Normal</v>
      </c>
    </row>
    <row r="461" spans="1:14" x14ac:dyDescent="0.25">
      <c r="A461" t="s">
        <v>478</v>
      </c>
      <c r="B461">
        <v>28</v>
      </c>
      <c r="C461" t="s">
        <v>19</v>
      </c>
      <c r="D461">
        <v>7.5</v>
      </c>
      <c r="E461">
        <v>6</v>
      </c>
      <c r="F461">
        <v>8</v>
      </c>
      <c r="G461">
        <v>3</v>
      </c>
      <c r="H461">
        <v>2</v>
      </c>
      <c r="I461" t="s">
        <v>12</v>
      </c>
      <c r="J461">
        <v>6</v>
      </c>
      <c r="K461" t="str">
        <f t="shared" si="7"/>
        <v>26–35</v>
      </c>
      <c r="L461" t="str">
        <f>IF(Table1[[#This Row],[Daily_Screen_Time(hrs)]]&lt;=3,"Low",IF(Table1[[#This Row],[Daily_Screen_Time(hrs)]]&lt;=6,"Medium","High"))</f>
        <v>High</v>
      </c>
      <c r="M461" t="str">
        <f>IF(Table1[[#This Row],[Stress_Level(1-10)]]&lt;=4,"Low",IF(Table1[[#This Row],[Stress_Level(1-10)]]&lt;=7,"Medium","High"))</f>
        <v>High</v>
      </c>
      <c r="N461" t="str">
        <f>IF(Table1[[#This Row],[Happiness_Index(1-10)]]&lt;=4,"Low",IF(Table1[[#This Row],[Happiness_Index(1-10)]]&lt;=7,"Normal","High"))</f>
        <v>Normal</v>
      </c>
    </row>
    <row r="462" spans="1:14" x14ac:dyDescent="0.25">
      <c r="A462" t="s">
        <v>479</v>
      </c>
      <c r="B462">
        <v>43</v>
      </c>
      <c r="C462" t="s">
        <v>11</v>
      </c>
      <c r="D462">
        <v>6</v>
      </c>
      <c r="E462">
        <v>6</v>
      </c>
      <c r="F462">
        <v>5</v>
      </c>
      <c r="G462">
        <v>5</v>
      </c>
      <c r="H462">
        <v>1</v>
      </c>
      <c r="I462" t="s">
        <v>26</v>
      </c>
      <c r="J462">
        <v>9</v>
      </c>
      <c r="K462" t="str">
        <f t="shared" si="7"/>
        <v>36–45</v>
      </c>
      <c r="L462" t="str">
        <f>IF(Table1[[#This Row],[Daily_Screen_Time(hrs)]]&lt;=3,"Low",IF(Table1[[#This Row],[Daily_Screen_Time(hrs)]]&lt;=6,"Medium","High"))</f>
        <v>Medium</v>
      </c>
      <c r="M462" t="str">
        <f>IF(Table1[[#This Row],[Stress_Level(1-10)]]&lt;=4,"Low",IF(Table1[[#This Row],[Stress_Level(1-10)]]&lt;=7,"Medium","High"))</f>
        <v>Medium</v>
      </c>
      <c r="N462" t="str">
        <f>IF(Table1[[#This Row],[Happiness_Index(1-10)]]&lt;=4,"Low",IF(Table1[[#This Row],[Happiness_Index(1-10)]]&lt;=7,"Normal","High"))</f>
        <v>High</v>
      </c>
    </row>
    <row r="463" spans="1:14" x14ac:dyDescent="0.25">
      <c r="A463" t="s">
        <v>480</v>
      </c>
      <c r="B463">
        <v>35</v>
      </c>
      <c r="C463" t="s">
        <v>11</v>
      </c>
      <c r="D463">
        <v>4.5</v>
      </c>
      <c r="E463">
        <v>7</v>
      </c>
      <c r="F463">
        <v>8</v>
      </c>
      <c r="G463">
        <v>4</v>
      </c>
      <c r="H463">
        <v>4</v>
      </c>
      <c r="I463" t="s">
        <v>26</v>
      </c>
      <c r="J463">
        <v>8</v>
      </c>
      <c r="K463" t="str">
        <f t="shared" si="7"/>
        <v>26–35</v>
      </c>
      <c r="L463" t="str">
        <f>IF(Table1[[#This Row],[Daily_Screen_Time(hrs)]]&lt;=3,"Low",IF(Table1[[#This Row],[Daily_Screen_Time(hrs)]]&lt;=6,"Medium","High"))</f>
        <v>Medium</v>
      </c>
      <c r="M463" t="str">
        <f>IF(Table1[[#This Row],[Stress_Level(1-10)]]&lt;=4,"Low",IF(Table1[[#This Row],[Stress_Level(1-10)]]&lt;=7,"Medium","High"))</f>
        <v>High</v>
      </c>
      <c r="N463" t="str">
        <f>IF(Table1[[#This Row],[Happiness_Index(1-10)]]&lt;=4,"Low",IF(Table1[[#This Row],[Happiness_Index(1-10)]]&lt;=7,"Normal","High"))</f>
        <v>High</v>
      </c>
    </row>
    <row r="464" spans="1:14" x14ac:dyDescent="0.25">
      <c r="A464" t="s">
        <v>481</v>
      </c>
      <c r="B464">
        <v>43</v>
      </c>
      <c r="C464" t="s">
        <v>19</v>
      </c>
      <c r="D464">
        <v>2.6</v>
      </c>
      <c r="E464">
        <v>9</v>
      </c>
      <c r="F464">
        <v>5</v>
      </c>
      <c r="G464">
        <v>4</v>
      </c>
      <c r="H464">
        <v>5</v>
      </c>
      <c r="I464" t="s">
        <v>26</v>
      </c>
      <c r="J464">
        <v>10</v>
      </c>
      <c r="K464" t="str">
        <f t="shared" si="7"/>
        <v>36–45</v>
      </c>
      <c r="L464" t="str">
        <f>IF(Table1[[#This Row],[Daily_Screen_Time(hrs)]]&lt;=3,"Low",IF(Table1[[#This Row],[Daily_Screen_Time(hrs)]]&lt;=6,"Medium","High"))</f>
        <v>Low</v>
      </c>
      <c r="M464" t="str">
        <f>IF(Table1[[#This Row],[Stress_Level(1-10)]]&lt;=4,"Low",IF(Table1[[#This Row],[Stress_Level(1-10)]]&lt;=7,"Medium","High"))</f>
        <v>Medium</v>
      </c>
      <c r="N464" t="str">
        <f>IF(Table1[[#This Row],[Happiness_Index(1-10)]]&lt;=4,"Low",IF(Table1[[#This Row],[Happiness_Index(1-10)]]&lt;=7,"Normal","High"))</f>
        <v>High</v>
      </c>
    </row>
    <row r="465" spans="1:14" x14ac:dyDescent="0.25">
      <c r="A465" t="s">
        <v>482</v>
      </c>
      <c r="B465">
        <v>23</v>
      </c>
      <c r="C465" t="s">
        <v>11</v>
      </c>
      <c r="D465">
        <v>6.5</v>
      </c>
      <c r="E465">
        <v>5</v>
      </c>
      <c r="F465">
        <v>10</v>
      </c>
      <c r="G465">
        <v>5</v>
      </c>
      <c r="H465">
        <v>3</v>
      </c>
      <c r="I465" t="s">
        <v>15</v>
      </c>
      <c r="J465">
        <v>5</v>
      </c>
      <c r="K465" t="str">
        <f t="shared" si="7"/>
        <v>15–25</v>
      </c>
      <c r="L465" t="str">
        <f>IF(Table1[[#This Row],[Daily_Screen_Time(hrs)]]&lt;=3,"Low",IF(Table1[[#This Row],[Daily_Screen_Time(hrs)]]&lt;=6,"Medium","High"))</f>
        <v>High</v>
      </c>
      <c r="M465" t="str">
        <f>IF(Table1[[#This Row],[Stress_Level(1-10)]]&lt;=4,"Low",IF(Table1[[#This Row],[Stress_Level(1-10)]]&lt;=7,"Medium","High"))</f>
        <v>High</v>
      </c>
      <c r="N465" t="str">
        <f>IF(Table1[[#This Row],[Happiness_Index(1-10)]]&lt;=4,"Low",IF(Table1[[#This Row],[Happiness_Index(1-10)]]&lt;=7,"Normal","High"))</f>
        <v>Normal</v>
      </c>
    </row>
    <row r="466" spans="1:14" x14ac:dyDescent="0.25">
      <c r="A466" t="s">
        <v>483</v>
      </c>
      <c r="B466">
        <v>16</v>
      </c>
      <c r="C466" t="s">
        <v>19</v>
      </c>
      <c r="D466">
        <v>3.5</v>
      </c>
      <c r="E466">
        <v>8</v>
      </c>
      <c r="F466">
        <v>5</v>
      </c>
      <c r="G466">
        <v>4</v>
      </c>
      <c r="H466">
        <v>3</v>
      </c>
      <c r="I466" t="s">
        <v>20</v>
      </c>
      <c r="J466">
        <v>10</v>
      </c>
      <c r="K466" t="str">
        <f t="shared" si="7"/>
        <v>15–25</v>
      </c>
      <c r="L466" t="str">
        <f>IF(Table1[[#This Row],[Daily_Screen_Time(hrs)]]&lt;=3,"Low",IF(Table1[[#This Row],[Daily_Screen_Time(hrs)]]&lt;=6,"Medium","High"))</f>
        <v>Medium</v>
      </c>
      <c r="M466" t="str">
        <f>IF(Table1[[#This Row],[Stress_Level(1-10)]]&lt;=4,"Low",IF(Table1[[#This Row],[Stress_Level(1-10)]]&lt;=7,"Medium","High"))</f>
        <v>Medium</v>
      </c>
      <c r="N466" t="str">
        <f>IF(Table1[[#This Row],[Happiness_Index(1-10)]]&lt;=4,"Low",IF(Table1[[#This Row],[Happiness_Index(1-10)]]&lt;=7,"Normal","High"))</f>
        <v>High</v>
      </c>
    </row>
    <row r="467" spans="1:14" x14ac:dyDescent="0.25">
      <c r="A467" t="s">
        <v>484</v>
      </c>
      <c r="B467">
        <v>18</v>
      </c>
      <c r="C467" t="s">
        <v>11</v>
      </c>
      <c r="D467">
        <v>4.2</v>
      </c>
      <c r="E467">
        <v>7</v>
      </c>
      <c r="F467">
        <v>7</v>
      </c>
      <c r="G467">
        <v>2</v>
      </c>
      <c r="H467">
        <v>3</v>
      </c>
      <c r="I467" t="s">
        <v>20</v>
      </c>
      <c r="J467">
        <v>10</v>
      </c>
      <c r="K467" t="str">
        <f t="shared" si="7"/>
        <v>15–25</v>
      </c>
      <c r="L467" t="str">
        <f>IF(Table1[[#This Row],[Daily_Screen_Time(hrs)]]&lt;=3,"Low",IF(Table1[[#This Row],[Daily_Screen_Time(hrs)]]&lt;=6,"Medium","High"))</f>
        <v>Medium</v>
      </c>
      <c r="M467" t="str">
        <f>IF(Table1[[#This Row],[Stress_Level(1-10)]]&lt;=4,"Low",IF(Table1[[#This Row],[Stress_Level(1-10)]]&lt;=7,"Medium","High"))</f>
        <v>Medium</v>
      </c>
      <c r="N467" t="str">
        <f>IF(Table1[[#This Row],[Happiness_Index(1-10)]]&lt;=4,"Low",IF(Table1[[#This Row],[Happiness_Index(1-10)]]&lt;=7,"Normal","High"))</f>
        <v>High</v>
      </c>
    </row>
    <row r="468" spans="1:14" x14ac:dyDescent="0.25">
      <c r="A468" t="s">
        <v>485</v>
      </c>
      <c r="B468">
        <v>28</v>
      </c>
      <c r="C468" t="s">
        <v>11</v>
      </c>
      <c r="D468">
        <v>4.4000000000000004</v>
      </c>
      <c r="E468">
        <v>7</v>
      </c>
      <c r="F468">
        <v>7</v>
      </c>
      <c r="G468">
        <v>3</v>
      </c>
      <c r="H468">
        <v>4</v>
      </c>
      <c r="I468" t="s">
        <v>20</v>
      </c>
      <c r="J468">
        <v>8</v>
      </c>
      <c r="K468" t="str">
        <f t="shared" si="7"/>
        <v>26–35</v>
      </c>
      <c r="L468" t="str">
        <f>IF(Table1[[#This Row],[Daily_Screen_Time(hrs)]]&lt;=3,"Low",IF(Table1[[#This Row],[Daily_Screen_Time(hrs)]]&lt;=6,"Medium","High"))</f>
        <v>Medium</v>
      </c>
      <c r="M468" t="str">
        <f>IF(Table1[[#This Row],[Stress_Level(1-10)]]&lt;=4,"Low",IF(Table1[[#This Row],[Stress_Level(1-10)]]&lt;=7,"Medium","High"))</f>
        <v>Medium</v>
      </c>
      <c r="N468" t="str">
        <f>IF(Table1[[#This Row],[Happiness_Index(1-10)]]&lt;=4,"Low",IF(Table1[[#This Row],[Happiness_Index(1-10)]]&lt;=7,"Normal","High"))</f>
        <v>High</v>
      </c>
    </row>
    <row r="469" spans="1:14" x14ac:dyDescent="0.25">
      <c r="A469" t="s">
        <v>486</v>
      </c>
      <c r="B469">
        <v>43</v>
      </c>
      <c r="C469" t="s">
        <v>11</v>
      </c>
      <c r="D469">
        <v>5.0999999999999996</v>
      </c>
      <c r="E469">
        <v>6</v>
      </c>
      <c r="F469">
        <v>6</v>
      </c>
      <c r="G469">
        <v>3</v>
      </c>
      <c r="H469">
        <v>4</v>
      </c>
      <c r="I469" t="s">
        <v>15</v>
      </c>
      <c r="J469">
        <v>9</v>
      </c>
      <c r="K469" t="str">
        <f t="shared" si="7"/>
        <v>36–45</v>
      </c>
      <c r="L469" t="str">
        <f>IF(Table1[[#This Row],[Daily_Screen_Time(hrs)]]&lt;=3,"Low",IF(Table1[[#This Row],[Daily_Screen_Time(hrs)]]&lt;=6,"Medium","High"))</f>
        <v>Medium</v>
      </c>
      <c r="M469" t="str">
        <f>IF(Table1[[#This Row],[Stress_Level(1-10)]]&lt;=4,"Low",IF(Table1[[#This Row],[Stress_Level(1-10)]]&lt;=7,"Medium","High"))</f>
        <v>Medium</v>
      </c>
      <c r="N469" t="str">
        <f>IF(Table1[[#This Row],[Happiness_Index(1-10)]]&lt;=4,"Low",IF(Table1[[#This Row],[Happiness_Index(1-10)]]&lt;=7,"Normal","High"))</f>
        <v>High</v>
      </c>
    </row>
    <row r="470" spans="1:14" x14ac:dyDescent="0.25">
      <c r="A470" t="s">
        <v>487</v>
      </c>
      <c r="B470">
        <v>40</v>
      </c>
      <c r="C470" t="s">
        <v>11</v>
      </c>
      <c r="D470">
        <v>4.0999999999999996</v>
      </c>
      <c r="E470">
        <v>6</v>
      </c>
      <c r="F470">
        <v>7</v>
      </c>
      <c r="G470">
        <v>1</v>
      </c>
      <c r="H470">
        <v>2</v>
      </c>
      <c r="I470" t="s">
        <v>12</v>
      </c>
      <c r="J470">
        <v>10</v>
      </c>
      <c r="K470" t="str">
        <f t="shared" si="7"/>
        <v>36–45</v>
      </c>
      <c r="L470" t="str">
        <f>IF(Table1[[#This Row],[Daily_Screen_Time(hrs)]]&lt;=3,"Low",IF(Table1[[#This Row],[Daily_Screen_Time(hrs)]]&lt;=6,"Medium","High"))</f>
        <v>Medium</v>
      </c>
      <c r="M470" t="str">
        <f>IF(Table1[[#This Row],[Stress_Level(1-10)]]&lt;=4,"Low",IF(Table1[[#This Row],[Stress_Level(1-10)]]&lt;=7,"Medium","High"))</f>
        <v>Medium</v>
      </c>
      <c r="N470" t="str">
        <f>IF(Table1[[#This Row],[Happiness_Index(1-10)]]&lt;=4,"Low",IF(Table1[[#This Row],[Happiness_Index(1-10)]]&lt;=7,"Normal","High"))</f>
        <v>High</v>
      </c>
    </row>
    <row r="471" spans="1:14" x14ac:dyDescent="0.25">
      <c r="A471" t="s">
        <v>488</v>
      </c>
      <c r="B471">
        <v>48</v>
      </c>
      <c r="C471" t="s">
        <v>19</v>
      </c>
      <c r="D471">
        <v>5.6</v>
      </c>
      <c r="E471">
        <v>6</v>
      </c>
      <c r="F471">
        <v>6</v>
      </c>
      <c r="G471">
        <v>5</v>
      </c>
      <c r="H471">
        <v>3</v>
      </c>
      <c r="I471" t="s">
        <v>20</v>
      </c>
      <c r="J471">
        <v>8</v>
      </c>
      <c r="K471" t="str">
        <f t="shared" si="7"/>
        <v>46+</v>
      </c>
      <c r="L471" t="str">
        <f>IF(Table1[[#This Row],[Daily_Screen_Time(hrs)]]&lt;=3,"Low",IF(Table1[[#This Row],[Daily_Screen_Time(hrs)]]&lt;=6,"Medium","High"))</f>
        <v>Medium</v>
      </c>
      <c r="M471" t="str">
        <f>IF(Table1[[#This Row],[Stress_Level(1-10)]]&lt;=4,"Low",IF(Table1[[#This Row],[Stress_Level(1-10)]]&lt;=7,"Medium","High"))</f>
        <v>Medium</v>
      </c>
      <c r="N471" t="str">
        <f>IF(Table1[[#This Row],[Happiness_Index(1-10)]]&lt;=4,"Low",IF(Table1[[#This Row],[Happiness_Index(1-10)]]&lt;=7,"Normal","High"))</f>
        <v>High</v>
      </c>
    </row>
    <row r="472" spans="1:14" x14ac:dyDescent="0.25">
      <c r="A472" t="s">
        <v>489</v>
      </c>
      <c r="B472">
        <v>21</v>
      </c>
      <c r="C472" t="s">
        <v>11</v>
      </c>
      <c r="D472">
        <v>4.4000000000000004</v>
      </c>
      <c r="E472">
        <v>5</v>
      </c>
      <c r="F472">
        <v>6</v>
      </c>
      <c r="G472">
        <v>4</v>
      </c>
      <c r="H472">
        <v>3</v>
      </c>
      <c r="I472" t="s">
        <v>17</v>
      </c>
      <c r="J472">
        <v>7</v>
      </c>
      <c r="K472" t="str">
        <f t="shared" si="7"/>
        <v>15–25</v>
      </c>
      <c r="L472" t="str">
        <f>IF(Table1[[#This Row],[Daily_Screen_Time(hrs)]]&lt;=3,"Low",IF(Table1[[#This Row],[Daily_Screen_Time(hrs)]]&lt;=6,"Medium","High"))</f>
        <v>Medium</v>
      </c>
      <c r="M472" t="str">
        <f>IF(Table1[[#This Row],[Stress_Level(1-10)]]&lt;=4,"Low",IF(Table1[[#This Row],[Stress_Level(1-10)]]&lt;=7,"Medium","High"))</f>
        <v>Medium</v>
      </c>
      <c r="N472" t="str">
        <f>IF(Table1[[#This Row],[Happiness_Index(1-10)]]&lt;=4,"Low",IF(Table1[[#This Row],[Happiness_Index(1-10)]]&lt;=7,"Normal","High"))</f>
        <v>Normal</v>
      </c>
    </row>
    <row r="473" spans="1:14" x14ac:dyDescent="0.25">
      <c r="A473" t="s">
        <v>490</v>
      </c>
      <c r="B473">
        <v>47</v>
      </c>
      <c r="C473" t="s">
        <v>19</v>
      </c>
      <c r="D473">
        <v>6.8</v>
      </c>
      <c r="E473">
        <v>5</v>
      </c>
      <c r="F473">
        <v>4</v>
      </c>
      <c r="G473">
        <v>3</v>
      </c>
      <c r="H473">
        <v>1</v>
      </c>
      <c r="I473" t="s">
        <v>26</v>
      </c>
      <c r="J473">
        <v>10</v>
      </c>
      <c r="K473" t="str">
        <f t="shared" si="7"/>
        <v>46+</v>
      </c>
      <c r="L473" t="str">
        <f>IF(Table1[[#This Row],[Daily_Screen_Time(hrs)]]&lt;=3,"Low",IF(Table1[[#This Row],[Daily_Screen_Time(hrs)]]&lt;=6,"Medium","High"))</f>
        <v>High</v>
      </c>
      <c r="M473" t="str">
        <f>IF(Table1[[#This Row],[Stress_Level(1-10)]]&lt;=4,"Low",IF(Table1[[#This Row],[Stress_Level(1-10)]]&lt;=7,"Medium","High"))</f>
        <v>Low</v>
      </c>
      <c r="N473" t="str">
        <f>IF(Table1[[#This Row],[Happiness_Index(1-10)]]&lt;=4,"Low",IF(Table1[[#This Row],[Happiness_Index(1-10)]]&lt;=7,"Normal","High"))</f>
        <v>High</v>
      </c>
    </row>
    <row r="474" spans="1:14" x14ac:dyDescent="0.25">
      <c r="A474" t="s">
        <v>491</v>
      </c>
      <c r="B474">
        <v>36</v>
      </c>
      <c r="C474" t="s">
        <v>19</v>
      </c>
      <c r="D474">
        <v>7.4</v>
      </c>
      <c r="E474">
        <v>3</v>
      </c>
      <c r="F474">
        <v>8</v>
      </c>
      <c r="G474">
        <v>5</v>
      </c>
      <c r="H474">
        <v>4</v>
      </c>
      <c r="I474" t="s">
        <v>12</v>
      </c>
      <c r="J474">
        <v>5</v>
      </c>
      <c r="K474" t="str">
        <f t="shared" si="7"/>
        <v>36–45</v>
      </c>
      <c r="L474" t="str">
        <f>IF(Table1[[#This Row],[Daily_Screen_Time(hrs)]]&lt;=3,"Low",IF(Table1[[#This Row],[Daily_Screen_Time(hrs)]]&lt;=6,"Medium","High"))</f>
        <v>High</v>
      </c>
      <c r="M474" t="str">
        <f>IF(Table1[[#This Row],[Stress_Level(1-10)]]&lt;=4,"Low",IF(Table1[[#This Row],[Stress_Level(1-10)]]&lt;=7,"Medium","High"))</f>
        <v>High</v>
      </c>
      <c r="N474" t="str">
        <f>IF(Table1[[#This Row],[Happiness_Index(1-10)]]&lt;=4,"Low",IF(Table1[[#This Row],[Happiness_Index(1-10)]]&lt;=7,"Normal","High"))</f>
        <v>Normal</v>
      </c>
    </row>
    <row r="475" spans="1:14" x14ac:dyDescent="0.25">
      <c r="A475" t="s">
        <v>492</v>
      </c>
      <c r="B475">
        <v>31</v>
      </c>
      <c r="C475" t="s">
        <v>19</v>
      </c>
      <c r="D475">
        <v>5.7</v>
      </c>
      <c r="E475">
        <v>7</v>
      </c>
      <c r="F475">
        <v>5</v>
      </c>
      <c r="G475">
        <v>3</v>
      </c>
      <c r="H475">
        <v>5</v>
      </c>
      <c r="I475" t="s">
        <v>26</v>
      </c>
      <c r="J475">
        <v>10</v>
      </c>
      <c r="K475" t="str">
        <f t="shared" si="7"/>
        <v>26–35</v>
      </c>
      <c r="L475" t="str">
        <f>IF(Table1[[#This Row],[Daily_Screen_Time(hrs)]]&lt;=3,"Low",IF(Table1[[#This Row],[Daily_Screen_Time(hrs)]]&lt;=6,"Medium","High"))</f>
        <v>Medium</v>
      </c>
      <c r="M475" t="str">
        <f>IF(Table1[[#This Row],[Stress_Level(1-10)]]&lt;=4,"Low",IF(Table1[[#This Row],[Stress_Level(1-10)]]&lt;=7,"Medium","High"))</f>
        <v>Medium</v>
      </c>
      <c r="N475" t="str">
        <f>IF(Table1[[#This Row],[Happiness_Index(1-10)]]&lt;=4,"Low",IF(Table1[[#This Row],[Happiness_Index(1-10)]]&lt;=7,"Normal","High"))</f>
        <v>High</v>
      </c>
    </row>
    <row r="476" spans="1:14" x14ac:dyDescent="0.25">
      <c r="A476" t="s">
        <v>493</v>
      </c>
      <c r="B476">
        <v>36</v>
      </c>
      <c r="C476" t="s">
        <v>19</v>
      </c>
      <c r="D476">
        <v>6.3</v>
      </c>
      <c r="E476">
        <v>7</v>
      </c>
      <c r="F476">
        <v>7</v>
      </c>
      <c r="G476">
        <v>3</v>
      </c>
      <c r="H476">
        <v>4</v>
      </c>
      <c r="I476" t="s">
        <v>20</v>
      </c>
      <c r="J476">
        <v>8</v>
      </c>
      <c r="K476" t="str">
        <f t="shared" si="7"/>
        <v>36–45</v>
      </c>
      <c r="L476" t="str">
        <f>IF(Table1[[#This Row],[Daily_Screen_Time(hrs)]]&lt;=3,"Low",IF(Table1[[#This Row],[Daily_Screen_Time(hrs)]]&lt;=6,"Medium","High"))</f>
        <v>High</v>
      </c>
      <c r="M476" t="str">
        <f>IF(Table1[[#This Row],[Stress_Level(1-10)]]&lt;=4,"Low",IF(Table1[[#This Row],[Stress_Level(1-10)]]&lt;=7,"Medium","High"))</f>
        <v>Medium</v>
      </c>
      <c r="N476" t="str">
        <f>IF(Table1[[#This Row],[Happiness_Index(1-10)]]&lt;=4,"Low",IF(Table1[[#This Row],[Happiness_Index(1-10)]]&lt;=7,"Normal","High"))</f>
        <v>High</v>
      </c>
    </row>
    <row r="477" spans="1:14" x14ac:dyDescent="0.25">
      <c r="A477" t="s">
        <v>494</v>
      </c>
      <c r="B477">
        <v>26</v>
      </c>
      <c r="C477" t="s">
        <v>19</v>
      </c>
      <c r="D477">
        <v>9.3000000000000007</v>
      </c>
      <c r="E477">
        <v>3</v>
      </c>
      <c r="F477">
        <v>8</v>
      </c>
      <c r="G477">
        <v>2</v>
      </c>
      <c r="H477">
        <v>1</v>
      </c>
      <c r="I477" t="s">
        <v>12</v>
      </c>
      <c r="J477">
        <v>6</v>
      </c>
      <c r="K477" t="str">
        <f t="shared" si="7"/>
        <v>26–35</v>
      </c>
      <c r="L477" t="str">
        <f>IF(Table1[[#This Row],[Daily_Screen_Time(hrs)]]&lt;=3,"Low",IF(Table1[[#This Row],[Daily_Screen_Time(hrs)]]&lt;=6,"Medium","High"))</f>
        <v>High</v>
      </c>
      <c r="M477" t="str">
        <f>IF(Table1[[#This Row],[Stress_Level(1-10)]]&lt;=4,"Low",IF(Table1[[#This Row],[Stress_Level(1-10)]]&lt;=7,"Medium","High"))</f>
        <v>High</v>
      </c>
      <c r="N477" t="str">
        <f>IF(Table1[[#This Row],[Happiness_Index(1-10)]]&lt;=4,"Low",IF(Table1[[#This Row],[Happiness_Index(1-10)]]&lt;=7,"Normal","High"))</f>
        <v>Normal</v>
      </c>
    </row>
    <row r="478" spans="1:14" x14ac:dyDescent="0.25">
      <c r="A478" t="s">
        <v>495</v>
      </c>
      <c r="B478">
        <v>34</v>
      </c>
      <c r="C478" t="s">
        <v>11</v>
      </c>
      <c r="D478">
        <v>3.4</v>
      </c>
      <c r="E478">
        <v>8</v>
      </c>
      <c r="F478">
        <v>5</v>
      </c>
      <c r="G478">
        <v>4</v>
      </c>
      <c r="H478">
        <v>0</v>
      </c>
      <c r="I478" t="s">
        <v>22</v>
      </c>
      <c r="J478">
        <v>10</v>
      </c>
      <c r="K478" t="str">
        <f t="shared" si="7"/>
        <v>26–35</v>
      </c>
      <c r="L478" t="str">
        <f>IF(Table1[[#This Row],[Daily_Screen_Time(hrs)]]&lt;=3,"Low",IF(Table1[[#This Row],[Daily_Screen_Time(hrs)]]&lt;=6,"Medium","High"))</f>
        <v>Medium</v>
      </c>
      <c r="M478" t="str">
        <f>IF(Table1[[#This Row],[Stress_Level(1-10)]]&lt;=4,"Low",IF(Table1[[#This Row],[Stress_Level(1-10)]]&lt;=7,"Medium","High"))</f>
        <v>Medium</v>
      </c>
      <c r="N478" t="str">
        <f>IF(Table1[[#This Row],[Happiness_Index(1-10)]]&lt;=4,"Low",IF(Table1[[#This Row],[Happiness_Index(1-10)]]&lt;=7,"Normal","High"))</f>
        <v>High</v>
      </c>
    </row>
    <row r="479" spans="1:14" x14ac:dyDescent="0.25">
      <c r="A479" t="s">
        <v>496</v>
      </c>
      <c r="B479">
        <v>35</v>
      </c>
      <c r="C479" t="s">
        <v>11</v>
      </c>
      <c r="D479">
        <v>3.3</v>
      </c>
      <c r="E479">
        <v>9</v>
      </c>
      <c r="F479">
        <v>6</v>
      </c>
      <c r="G479">
        <v>4</v>
      </c>
      <c r="H479">
        <v>4</v>
      </c>
      <c r="I479" t="s">
        <v>17</v>
      </c>
      <c r="J479">
        <v>10</v>
      </c>
      <c r="K479" t="str">
        <f t="shared" si="7"/>
        <v>26–35</v>
      </c>
      <c r="L479" t="str">
        <f>IF(Table1[[#This Row],[Daily_Screen_Time(hrs)]]&lt;=3,"Low",IF(Table1[[#This Row],[Daily_Screen_Time(hrs)]]&lt;=6,"Medium","High"))</f>
        <v>Medium</v>
      </c>
      <c r="M479" t="str">
        <f>IF(Table1[[#This Row],[Stress_Level(1-10)]]&lt;=4,"Low",IF(Table1[[#This Row],[Stress_Level(1-10)]]&lt;=7,"Medium","High"))</f>
        <v>Medium</v>
      </c>
      <c r="N479" t="str">
        <f>IF(Table1[[#This Row],[Happiness_Index(1-10)]]&lt;=4,"Low",IF(Table1[[#This Row],[Happiness_Index(1-10)]]&lt;=7,"Normal","High"))</f>
        <v>High</v>
      </c>
    </row>
    <row r="480" spans="1:14" x14ac:dyDescent="0.25">
      <c r="A480" t="s">
        <v>497</v>
      </c>
      <c r="B480">
        <v>33</v>
      </c>
      <c r="C480" t="s">
        <v>11</v>
      </c>
      <c r="D480">
        <v>6.8</v>
      </c>
      <c r="E480">
        <v>6</v>
      </c>
      <c r="F480">
        <v>8</v>
      </c>
      <c r="G480">
        <v>2</v>
      </c>
      <c r="H480">
        <v>1</v>
      </c>
      <c r="I480" t="s">
        <v>20</v>
      </c>
      <c r="J480">
        <v>9</v>
      </c>
      <c r="K480" t="str">
        <f t="shared" si="7"/>
        <v>26–35</v>
      </c>
      <c r="L480" t="str">
        <f>IF(Table1[[#This Row],[Daily_Screen_Time(hrs)]]&lt;=3,"Low",IF(Table1[[#This Row],[Daily_Screen_Time(hrs)]]&lt;=6,"Medium","High"))</f>
        <v>High</v>
      </c>
      <c r="M480" t="str">
        <f>IF(Table1[[#This Row],[Stress_Level(1-10)]]&lt;=4,"Low",IF(Table1[[#This Row],[Stress_Level(1-10)]]&lt;=7,"Medium","High"))</f>
        <v>High</v>
      </c>
      <c r="N480" t="str">
        <f>IF(Table1[[#This Row],[Happiness_Index(1-10)]]&lt;=4,"Low",IF(Table1[[#This Row],[Happiness_Index(1-10)]]&lt;=7,"Normal","High"))</f>
        <v>High</v>
      </c>
    </row>
    <row r="481" spans="1:14" x14ac:dyDescent="0.25">
      <c r="A481" t="s">
        <v>498</v>
      </c>
      <c r="B481">
        <v>29</v>
      </c>
      <c r="C481" t="s">
        <v>19</v>
      </c>
      <c r="D481">
        <v>9</v>
      </c>
      <c r="E481">
        <v>4</v>
      </c>
      <c r="F481">
        <v>10</v>
      </c>
      <c r="G481">
        <v>3</v>
      </c>
      <c r="H481">
        <v>3</v>
      </c>
      <c r="I481" t="s">
        <v>20</v>
      </c>
      <c r="J481">
        <v>4</v>
      </c>
      <c r="K481" t="str">
        <f t="shared" si="7"/>
        <v>26–35</v>
      </c>
      <c r="L481" t="str">
        <f>IF(Table1[[#This Row],[Daily_Screen_Time(hrs)]]&lt;=3,"Low",IF(Table1[[#This Row],[Daily_Screen_Time(hrs)]]&lt;=6,"Medium","High"))</f>
        <v>High</v>
      </c>
      <c r="M481" t="str">
        <f>IF(Table1[[#This Row],[Stress_Level(1-10)]]&lt;=4,"Low",IF(Table1[[#This Row],[Stress_Level(1-10)]]&lt;=7,"Medium","High"))</f>
        <v>High</v>
      </c>
      <c r="N481" t="str">
        <f>IF(Table1[[#This Row],[Happiness_Index(1-10)]]&lt;=4,"Low",IF(Table1[[#This Row],[Happiness_Index(1-10)]]&lt;=7,"Normal","High"))</f>
        <v>Low</v>
      </c>
    </row>
    <row r="482" spans="1:14" x14ac:dyDescent="0.25">
      <c r="A482" t="s">
        <v>499</v>
      </c>
      <c r="B482">
        <v>30</v>
      </c>
      <c r="C482" t="s">
        <v>11</v>
      </c>
      <c r="D482">
        <v>5</v>
      </c>
      <c r="E482">
        <v>7</v>
      </c>
      <c r="F482">
        <v>8</v>
      </c>
      <c r="G482">
        <v>2</v>
      </c>
      <c r="H482">
        <v>5</v>
      </c>
      <c r="I482" t="s">
        <v>17</v>
      </c>
      <c r="J482">
        <v>7</v>
      </c>
      <c r="K482" t="str">
        <f t="shared" si="7"/>
        <v>26–35</v>
      </c>
      <c r="L482" t="str">
        <f>IF(Table1[[#This Row],[Daily_Screen_Time(hrs)]]&lt;=3,"Low",IF(Table1[[#This Row],[Daily_Screen_Time(hrs)]]&lt;=6,"Medium","High"))</f>
        <v>Medium</v>
      </c>
      <c r="M482" t="str">
        <f>IF(Table1[[#This Row],[Stress_Level(1-10)]]&lt;=4,"Low",IF(Table1[[#This Row],[Stress_Level(1-10)]]&lt;=7,"Medium","High"))</f>
        <v>High</v>
      </c>
      <c r="N482" t="str">
        <f>IF(Table1[[#This Row],[Happiness_Index(1-10)]]&lt;=4,"Low",IF(Table1[[#This Row],[Happiness_Index(1-10)]]&lt;=7,"Normal","High"))</f>
        <v>Normal</v>
      </c>
    </row>
    <row r="483" spans="1:14" x14ac:dyDescent="0.25">
      <c r="A483" t="s">
        <v>500</v>
      </c>
      <c r="B483">
        <v>46</v>
      </c>
      <c r="C483" t="s">
        <v>19</v>
      </c>
      <c r="D483">
        <v>8.6</v>
      </c>
      <c r="E483">
        <v>4</v>
      </c>
      <c r="F483">
        <v>8</v>
      </c>
      <c r="G483">
        <v>2</v>
      </c>
      <c r="H483">
        <v>2</v>
      </c>
      <c r="I483" t="s">
        <v>17</v>
      </c>
      <c r="J483">
        <v>4</v>
      </c>
      <c r="K483" t="str">
        <f t="shared" si="7"/>
        <v>46+</v>
      </c>
      <c r="L483" t="str">
        <f>IF(Table1[[#This Row],[Daily_Screen_Time(hrs)]]&lt;=3,"Low",IF(Table1[[#This Row],[Daily_Screen_Time(hrs)]]&lt;=6,"Medium","High"))</f>
        <v>High</v>
      </c>
      <c r="M483" t="str">
        <f>IF(Table1[[#This Row],[Stress_Level(1-10)]]&lt;=4,"Low",IF(Table1[[#This Row],[Stress_Level(1-10)]]&lt;=7,"Medium","High"))</f>
        <v>High</v>
      </c>
      <c r="N483" t="str">
        <f>IF(Table1[[#This Row],[Happiness_Index(1-10)]]&lt;=4,"Low",IF(Table1[[#This Row],[Happiness_Index(1-10)]]&lt;=7,"Normal","High"))</f>
        <v>Low</v>
      </c>
    </row>
    <row r="484" spans="1:14" x14ac:dyDescent="0.25">
      <c r="A484" t="s">
        <v>501</v>
      </c>
      <c r="B484">
        <v>16</v>
      </c>
      <c r="C484" t="s">
        <v>19</v>
      </c>
      <c r="D484">
        <v>5.7</v>
      </c>
      <c r="E484">
        <v>6</v>
      </c>
      <c r="F484">
        <v>6</v>
      </c>
      <c r="G484">
        <v>0</v>
      </c>
      <c r="H484">
        <v>2</v>
      </c>
      <c r="I484" t="s">
        <v>22</v>
      </c>
      <c r="J484">
        <v>8</v>
      </c>
      <c r="K484" t="str">
        <f t="shared" si="7"/>
        <v>15–25</v>
      </c>
      <c r="L484" t="str">
        <f>IF(Table1[[#This Row],[Daily_Screen_Time(hrs)]]&lt;=3,"Low",IF(Table1[[#This Row],[Daily_Screen_Time(hrs)]]&lt;=6,"Medium","High"))</f>
        <v>Medium</v>
      </c>
      <c r="M484" t="str">
        <f>IF(Table1[[#This Row],[Stress_Level(1-10)]]&lt;=4,"Low",IF(Table1[[#This Row],[Stress_Level(1-10)]]&lt;=7,"Medium","High"))</f>
        <v>Medium</v>
      </c>
      <c r="N484" t="str">
        <f>IF(Table1[[#This Row],[Happiness_Index(1-10)]]&lt;=4,"Low",IF(Table1[[#This Row],[Happiness_Index(1-10)]]&lt;=7,"Normal","High"))</f>
        <v>High</v>
      </c>
    </row>
    <row r="485" spans="1:14" x14ac:dyDescent="0.25">
      <c r="A485" t="s">
        <v>502</v>
      </c>
      <c r="B485">
        <v>18</v>
      </c>
      <c r="C485" t="s">
        <v>11</v>
      </c>
      <c r="D485">
        <v>4.3</v>
      </c>
      <c r="E485">
        <v>7</v>
      </c>
      <c r="F485">
        <v>7</v>
      </c>
      <c r="G485">
        <v>3</v>
      </c>
      <c r="H485">
        <v>3</v>
      </c>
      <c r="I485" t="s">
        <v>20</v>
      </c>
      <c r="J485">
        <v>10</v>
      </c>
      <c r="K485" t="str">
        <f t="shared" si="7"/>
        <v>15–25</v>
      </c>
      <c r="L485" t="str">
        <f>IF(Table1[[#This Row],[Daily_Screen_Time(hrs)]]&lt;=3,"Low",IF(Table1[[#This Row],[Daily_Screen_Time(hrs)]]&lt;=6,"Medium","High"))</f>
        <v>Medium</v>
      </c>
      <c r="M485" t="str">
        <f>IF(Table1[[#This Row],[Stress_Level(1-10)]]&lt;=4,"Low",IF(Table1[[#This Row],[Stress_Level(1-10)]]&lt;=7,"Medium","High"))</f>
        <v>Medium</v>
      </c>
      <c r="N485" t="str">
        <f>IF(Table1[[#This Row],[Happiness_Index(1-10)]]&lt;=4,"Low",IF(Table1[[#This Row],[Happiness_Index(1-10)]]&lt;=7,"Normal","High"))</f>
        <v>High</v>
      </c>
    </row>
    <row r="486" spans="1:14" x14ac:dyDescent="0.25">
      <c r="A486" t="s">
        <v>503</v>
      </c>
      <c r="B486">
        <v>31</v>
      </c>
      <c r="C486" t="s">
        <v>19</v>
      </c>
      <c r="D486">
        <v>3.7</v>
      </c>
      <c r="E486">
        <v>7</v>
      </c>
      <c r="F486">
        <v>7</v>
      </c>
      <c r="G486">
        <v>0</v>
      </c>
      <c r="H486">
        <v>1</v>
      </c>
      <c r="I486" t="s">
        <v>15</v>
      </c>
      <c r="J486">
        <v>9</v>
      </c>
      <c r="K486" t="str">
        <f t="shared" si="7"/>
        <v>26–35</v>
      </c>
      <c r="L486" t="str">
        <f>IF(Table1[[#This Row],[Daily_Screen_Time(hrs)]]&lt;=3,"Low",IF(Table1[[#This Row],[Daily_Screen_Time(hrs)]]&lt;=6,"Medium","High"))</f>
        <v>Medium</v>
      </c>
      <c r="M486" t="str">
        <f>IF(Table1[[#This Row],[Stress_Level(1-10)]]&lt;=4,"Low",IF(Table1[[#This Row],[Stress_Level(1-10)]]&lt;=7,"Medium","High"))</f>
        <v>Medium</v>
      </c>
      <c r="N486" t="str">
        <f>IF(Table1[[#This Row],[Happiness_Index(1-10)]]&lt;=4,"Low",IF(Table1[[#This Row],[Happiness_Index(1-10)]]&lt;=7,"Normal","High"))</f>
        <v>High</v>
      </c>
    </row>
    <row r="487" spans="1:14" x14ac:dyDescent="0.25">
      <c r="A487" t="s">
        <v>504</v>
      </c>
      <c r="B487">
        <v>38</v>
      </c>
      <c r="C487" t="s">
        <v>11</v>
      </c>
      <c r="D487">
        <v>6.6</v>
      </c>
      <c r="E487">
        <v>6</v>
      </c>
      <c r="F487">
        <v>8</v>
      </c>
      <c r="G487">
        <v>2</v>
      </c>
      <c r="H487">
        <v>1</v>
      </c>
      <c r="I487" t="s">
        <v>20</v>
      </c>
      <c r="J487">
        <v>7</v>
      </c>
      <c r="K487" t="str">
        <f t="shared" si="7"/>
        <v>36–45</v>
      </c>
      <c r="L487" t="str">
        <f>IF(Table1[[#This Row],[Daily_Screen_Time(hrs)]]&lt;=3,"Low",IF(Table1[[#This Row],[Daily_Screen_Time(hrs)]]&lt;=6,"Medium","High"))</f>
        <v>High</v>
      </c>
      <c r="M487" t="str">
        <f>IF(Table1[[#This Row],[Stress_Level(1-10)]]&lt;=4,"Low",IF(Table1[[#This Row],[Stress_Level(1-10)]]&lt;=7,"Medium","High"))</f>
        <v>High</v>
      </c>
      <c r="N487" t="str">
        <f>IF(Table1[[#This Row],[Happiness_Index(1-10)]]&lt;=4,"Low",IF(Table1[[#This Row],[Happiness_Index(1-10)]]&lt;=7,"Normal","High"))</f>
        <v>Normal</v>
      </c>
    </row>
    <row r="488" spans="1:14" x14ac:dyDescent="0.25">
      <c r="A488" t="s">
        <v>505</v>
      </c>
      <c r="B488">
        <v>26</v>
      </c>
      <c r="C488" t="s">
        <v>11</v>
      </c>
      <c r="D488">
        <v>3.9</v>
      </c>
      <c r="E488">
        <v>8</v>
      </c>
      <c r="F488">
        <v>5</v>
      </c>
      <c r="G488">
        <v>2</v>
      </c>
      <c r="H488">
        <v>3</v>
      </c>
      <c r="I488" t="s">
        <v>26</v>
      </c>
      <c r="J488">
        <v>10</v>
      </c>
      <c r="K488" t="str">
        <f t="shared" si="7"/>
        <v>26–35</v>
      </c>
      <c r="L488" t="str">
        <f>IF(Table1[[#This Row],[Daily_Screen_Time(hrs)]]&lt;=3,"Low",IF(Table1[[#This Row],[Daily_Screen_Time(hrs)]]&lt;=6,"Medium","High"))</f>
        <v>Medium</v>
      </c>
      <c r="M488" t="str">
        <f>IF(Table1[[#This Row],[Stress_Level(1-10)]]&lt;=4,"Low",IF(Table1[[#This Row],[Stress_Level(1-10)]]&lt;=7,"Medium","High"))</f>
        <v>Medium</v>
      </c>
      <c r="N488" t="str">
        <f>IF(Table1[[#This Row],[Happiness_Index(1-10)]]&lt;=4,"Low",IF(Table1[[#This Row],[Happiness_Index(1-10)]]&lt;=7,"Normal","High"))</f>
        <v>High</v>
      </c>
    </row>
    <row r="489" spans="1:14" x14ac:dyDescent="0.25">
      <c r="A489" t="s">
        <v>506</v>
      </c>
      <c r="B489">
        <v>27</v>
      </c>
      <c r="C489" t="s">
        <v>19</v>
      </c>
      <c r="D489">
        <v>5.6</v>
      </c>
      <c r="E489">
        <v>7</v>
      </c>
      <c r="F489">
        <v>7</v>
      </c>
      <c r="G489">
        <v>5</v>
      </c>
      <c r="H489">
        <v>2</v>
      </c>
      <c r="I489" t="s">
        <v>12</v>
      </c>
      <c r="J489">
        <v>8</v>
      </c>
      <c r="K489" t="str">
        <f t="shared" si="7"/>
        <v>26–35</v>
      </c>
      <c r="L489" t="str">
        <f>IF(Table1[[#This Row],[Daily_Screen_Time(hrs)]]&lt;=3,"Low",IF(Table1[[#This Row],[Daily_Screen_Time(hrs)]]&lt;=6,"Medium","High"))</f>
        <v>Medium</v>
      </c>
      <c r="M489" t="str">
        <f>IF(Table1[[#This Row],[Stress_Level(1-10)]]&lt;=4,"Low",IF(Table1[[#This Row],[Stress_Level(1-10)]]&lt;=7,"Medium","High"))</f>
        <v>Medium</v>
      </c>
      <c r="N489" t="str">
        <f>IF(Table1[[#This Row],[Happiness_Index(1-10)]]&lt;=4,"Low",IF(Table1[[#This Row],[Happiness_Index(1-10)]]&lt;=7,"Normal","High"))</f>
        <v>High</v>
      </c>
    </row>
    <row r="490" spans="1:14" x14ac:dyDescent="0.25">
      <c r="A490" t="s">
        <v>507</v>
      </c>
      <c r="B490">
        <v>25</v>
      </c>
      <c r="C490" t="s">
        <v>19</v>
      </c>
      <c r="D490">
        <v>8.4</v>
      </c>
      <c r="E490">
        <v>5</v>
      </c>
      <c r="F490">
        <v>9</v>
      </c>
      <c r="G490">
        <v>1</v>
      </c>
      <c r="H490">
        <v>3</v>
      </c>
      <c r="I490" t="s">
        <v>12</v>
      </c>
      <c r="J490">
        <v>7</v>
      </c>
      <c r="K490" t="str">
        <f t="shared" si="7"/>
        <v>15–25</v>
      </c>
      <c r="L490" t="str">
        <f>IF(Table1[[#This Row],[Daily_Screen_Time(hrs)]]&lt;=3,"Low",IF(Table1[[#This Row],[Daily_Screen_Time(hrs)]]&lt;=6,"Medium","High"))</f>
        <v>High</v>
      </c>
      <c r="M490" t="str">
        <f>IF(Table1[[#This Row],[Stress_Level(1-10)]]&lt;=4,"Low",IF(Table1[[#This Row],[Stress_Level(1-10)]]&lt;=7,"Medium","High"))</f>
        <v>High</v>
      </c>
      <c r="N490" t="str">
        <f>IF(Table1[[#This Row],[Happiness_Index(1-10)]]&lt;=4,"Low",IF(Table1[[#This Row],[Happiness_Index(1-10)]]&lt;=7,"Normal","High"))</f>
        <v>Normal</v>
      </c>
    </row>
    <row r="491" spans="1:14" x14ac:dyDescent="0.25">
      <c r="A491" t="s">
        <v>508</v>
      </c>
      <c r="B491">
        <v>47</v>
      </c>
      <c r="C491" t="s">
        <v>19</v>
      </c>
      <c r="D491">
        <v>4.9000000000000004</v>
      </c>
      <c r="E491">
        <v>7</v>
      </c>
      <c r="F491">
        <v>7</v>
      </c>
      <c r="G491">
        <v>1</v>
      </c>
      <c r="H491">
        <v>7</v>
      </c>
      <c r="I491" t="s">
        <v>26</v>
      </c>
      <c r="J491">
        <v>10</v>
      </c>
      <c r="K491" t="str">
        <f t="shared" si="7"/>
        <v>46+</v>
      </c>
      <c r="L491" t="str">
        <f>IF(Table1[[#This Row],[Daily_Screen_Time(hrs)]]&lt;=3,"Low",IF(Table1[[#This Row],[Daily_Screen_Time(hrs)]]&lt;=6,"Medium","High"))</f>
        <v>Medium</v>
      </c>
      <c r="M491" t="str">
        <f>IF(Table1[[#This Row],[Stress_Level(1-10)]]&lt;=4,"Low",IF(Table1[[#This Row],[Stress_Level(1-10)]]&lt;=7,"Medium","High"))</f>
        <v>Medium</v>
      </c>
      <c r="N491" t="str">
        <f>IF(Table1[[#This Row],[Happiness_Index(1-10)]]&lt;=4,"Low",IF(Table1[[#This Row],[Happiness_Index(1-10)]]&lt;=7,"Normal","High"))</f>
        <v>High</v>
      </c>
    </row>
    <row r="492" spans="1:14" x14ac:dyDescent="0.25">
      <c r="A492" t="s">
        <v>509</v>
      </c>
      <c r="B492">
        <v>31</v>
      </c>
      <c r="C492" t="s">
        <v>11</v>
      </c>
      <c r="D492">
        <v>7.9</v>
      </c>
      <c r="E492">
        <v>5</v>
      </c>
      <c r="F492">
        <v>8</v>
      </c>
      <c r="G492">
        <v>2</v>
      </c>
      <c r="H492">
        <v>3</v>
      </c>
      <c r="I492" t="s">
        <v>12</v>
      </c>
      <c r="J492">
        <v>6</v>
      </c>
      <c r="K492" t="str">
        <f t="shared" si="7"/>
        <v>26–35</v>
      </c>
      <c r="L492" t="str">
        <f>IF(Table1[[#This Row],[Daily_Screen_Time(hrs)]]&lt;=3,"Low",IF(Table1[[#This Row],[Daily_Screen_Time(hrs)]]&lt;=6,"Medium","High"))</f>
        <v>High</v>
      </c>
      <c r="M492" t="str">
        <f>IF(Table1[[#This Row],[Stress_Level(1-10)]]&lt;=4,"Low",IF(Table1[[#This Row],[Stress_Level(1-10)]]&lt;=7,"Medium","High"))</f>
        <v>High</v>
      </c>
      <c r="N492" t="str">
        <f>IF(Table1[[#This Row],[Happiness_Index(1-10)]]&lt;=4,"Low",IF(Table1[[#This Row],[Happiness_Index(1-10)]]&lt;=7,"Normal","High"))</f>
        <v>Normal</v>
      </c>
    </row>
    <row r="493" spans="1:14" x14ac:dyDescent="0.25">
      <c r="A493" t="s">
        <v>510</v>
      </c>
      <c r="B493">
        <v>23</v>
      </c>
      <c r="C493" t="s">
        <v>11</v>
      </c>
      <c r="D493">
        <v>3.3</v>
      </c>
      <c r="E493">
        <v>10</v>
      </c>
      <c r="F493">
        <v>4</v>
      </c>
      <c r="G493">
        <v>2</v>
      </c>
      <c r="H493">
        <v>1</v>
      </c>
      <c r="I493" t="s">
        <v>17</v>
      </c>
      <c r="J493">
        <v>10</v>
      </c>
      <c r="K493" t="str">
        <f t="shared" si="7"/>
        <v>15–25</v>
      </c>
      <c r="L493" t="str">
        <f>IF(Table1[[#This Row],[Daily_Screen_Time(hrs)]]&lt;=3,"Low",IF(Table1[[#This Row],[Daily_Screen_Time(hrs)]]&lt;=6,"Medium","High"))</f>
        <v>Medium</v>
      </c>
      <c r="M493" t="str">
        <f>IF(Table1[[#This Row],[Stress_Level(1-10)]]&lt;=4,"Low",IF(Table1[[#This Row],[Stress_Level(1-10)]]&lt;=7,"Medium","High"))</f>
        <v>Low</v>
      </c>
      <c r="N493" t="str">
        <f>IF(Table1[[#This Row],[Happiness_Index(1-10)]]&lt;=4,"Low",IF(Table1[[#This Row],[Happiness_Index(1-10)]]&lt;=7,"Normal","High"))</f>
        <v>High</v>
      </c>
    </row>
    <row r="494" spans="1:14" x14ac:dyDescent="0.25">
      <c r="A494" t="s">
        <v>511</v>
      </c>
      <c r="B494">
        <v>27</v>
      </c>
      <c r="C494" t="s">
        <v>19</v>
      </c>
      <c r="D494">
        <v>4.5</v>
      </c>
      <c r="E494">
        <v>5</v>
      </c>
      <c r="F494">
        <v>7</v>
      </c>
      <c r="G494">
        <v>6</v>
      </c>
      <c r="H494">
        <v>5</v>
      </c>
      <c r="I494" t="s">
        <v>12</v>
      </c>
      <c r="J494">
        <v>9</v>
      </c>
      <c r="K494" t="str">
        <f t="shared" si="7"/>
        <v>26–35</v>
      </c>
      <c r="L494" t="str">
        <f>IF(Table1[[#This Row],[Daily_Screen_Time(hrs)]]&lt;=3,"Low",IF(Table1[[#This Row],[Daily_Screen_Time(hrs)]]&lt;=6,"Medium","High"))</f>
        <v>Medium</v>
      </c>
      <c r="M494" t="str">
        <f>IF(Table1[[#This Row],[Stress_Level(1-10)]]&lt;=4,"Low",IF(Table1[[#This Row],[Stress_Level(1-10)]]&lt;=7,"Medium","High"))</f>
        <v>Medium</v>
      </c>
      <c r="N494" t="str">
        <f>IF(Table1[[#This Row],[Happiness_Index(1-10)]]&lt;=4,"Low",IF(Table1[[#This Row],[Happiness_Index(1-10)]]&lt;=7,"Normal","High"))</f>
        <v>High</v>
      </c>
    </row>
    <row r="495" spans="1:14" x14ac:dyDescent="0.25">
      <c r="A495" t="s">
        <v>512</v>
      </c>
      <c r="B495">
        <v>39</v>
      </c>
      <c r="C495" t="s">
        <v>19</v>
      </c>
      <c r="D495">
        <v>3</v>
      </c>
      <c r="E495">
        <v>7</v>
      </c>
      <c r="F495">
        <v>2</v>
      </c>
      <c r="G495">
        <v>1</v>
      </c>
      <c r="H495">
        <v>0</v>
      </c>
      <c r="I495" t="s">
        <v>12</v>
      </c>
      <c r="J495">
        <v>10</v>
      </c>
      <c r="K495" t="str">
        <f t="shared" si="7"/>
        <v>36–45</v>
      </c>
      <c r="L495" t="str">
        <f>IF(Table1[[#This Row],[Daily_Screen_Time(hrs)]]&lt;=3,"Low",IF(Table1[[#This Row],[Daily_Screen_Time(hrs)]]&lt;=6,"Medium","High"))</f>
        <v>Low</v>
      </c>
      <c r="M495" t="str">
        <f>IF(Table1[[#This Row],[Stress_Level(1-10)]]&lt;=4,"Low",IF(Table1[[#This Row],[Stress_Level(1-10)]]&lt;=7,"Medium","High"))</f>
        <v>Low</v>
      </c>
      <c r="N495" t="str">
        <f>IF(Table1[[#This Row],[Happiness_Index(1-10)]]&lt;=4,"Low",IF(Table1[[#This Row],[Happiness_Index(1-10)]]&lt;=7,"Normal","High"))</f>
        <v>High</v>
      </c>
    </row>
    <row r="496" spans="1:14" x14ac:dyDescent="0.25">
      <c r="A496" t="s">
        <v>513</v>
      </c>
      <c r="B496">
        <v>43</v>
      </c>
      <c r="C496" t="s">
        <v>19</v>
      </c>
      <c r="D496">
        <v>5.6</v>
      </c>
      <c r="E496">
        <v>8</v>
      </c>
      <c r="F496">
        <v>6</v>
      </c>
      <c r="G496">
        <v>2</v>
      </c>
      <c r="H496">
        <v>0</v>
      </c>
      <c r="I496" t="s">
        <v>26</v>
      </c>
      <c r="J496">
        <v>10</v>
      </c>
      <c r="K496" t="str">
        <f t="shared" si="7"/>
        <v>36–45</v>
      </c>
      <c r="L496" t="str">
        <f>IF(Table1[[#This Row],[Daily_Screen_Time(hrs)]]&lt;=3,"Low",IF(Table1[[#This Row],[Daily_Screen_Time(hrs)]]&lt;=6,"Medium","High"))</f>
        <v>Medium</v>
      </c>
      <c r="M496" t="str">
        <f>IF(Table1[[#This Row],[Stress_Level(1-10)]]&lt;=4,"Low",IF(Table1[[#This Row],[Stress_Level(1-10)]]&lt;=7,"Medium","High"))</f>
        <v>Medium</v>
      </c>
      <c r="N496" t="str">
        <f>IF(Table1[[#This Row],[Happiness_Index(1-10)]]&lt;=4,"Low",IF(Table1[[#This Row],[Happiness_Index(1-10)]]&lt;=7,"Normal","High"))</f>
        <v>High</v>
      </c>
    </row>
    <row r="497" spans="1:14" x14ac:dyDescent="0.25">
      <c r="A497" t="s">
        <v>514</v>
      </c>
      <c r="B497">
        <v>23</v>
      </c>
      <c r="C497" t="s">
        <v>11</v>
      </c>
      <c r="D497">
        <v>6.9</v>
      </c>
      <c r="E497">
        <v>5</v>
      </c>
      <c r="F497">
        <v>7</v>
      </c>
      <c r="G497">
        <v>4</v>
      </c>
      <c r="H497">
        <v>2</v>
      </c>
      <c r="I497" t="s">
        <v>22</v>
      </c>
      <c r="J497">
        <v>10</v>
      </c>
      <c r="K497" t="str">
        <f t="shared" si="7"/>
        <v>15–25</v>
      </c>
      <c r="L497" t="str">
        <f>IF(Table1[[#This Row],[Daily_Screen_Time(hrs)]]&lt;=3,"Low",IF(Table1[[#This Row],[Daily_Screen_Time(hrs)]]&lt;=6,"Medium","High"))</f>
        <v>High</v>
      </c>
      <c r="M497" t="str">
        <f>IF(Table1[[#This Row],[Stress_Level(1-10)]]&lt;=4,"Low",IF(Table1[[#This Row],[Stress_Level(1-10)]]&lt;=7,"Medium","High"))</f>
        <v>Medium</v>
      </c>
      <c r="N497" t="str">
        <f>IF(Table1[[#This Row],[Happiness_Index(1-10)]]&lt;=4,"Low",IF(Table1[[#This Row],[Happiness_Index(1-10)]]&lt;=7,"Normal","High"))</f>
        <v>High</v>
      </c>
    </row>
    <row r="498" spans="1:14" x14ac:dyDescent="0.25">
      <c r="A498" t="s">
        <v>515</v>
      </c>
      <c r="B498">
        <v>43</v>
      </c>
      <c r="C498" t="s">
        <v>19</v>
      </c>
      <c r="D498">
        <v>5.6</v>
      </c>
      <c r="E498">
        <v>7</v>
      </c>
      <c r="F498">
        <v>6</v>
      </c>
      <c r="G498">
        <v>5</v>
      </c>
      <c r="H498">
        <v>2</v>
      </c>
      <c r="I498" t="s">
        <v>12</v>
      </c>
      <c r="J498">
        <v>9</v>
      </c>
      <c r="K498" t="str">
        <f t="shared" si="7"/>
        <v>36–45</v>
      </c>
      <c r="L498" t="str">
        <f>IF(Table1[[#This Row],[Daily_Screen_Time(hrs)]]&lt;=3,"Low",IF(Table1[[#This Row],[Daily_Screen_Time(hrs)]]&lt;=6,"Medium","High"))</f>
        <v>Medium</v>
      </c>
      <c r="M498" t="str">
        <f>IF(Table1[[#This Row],[Stress_Level(1-10)]]&lt;=4,"Low",IF(Table1[[#This Row],[Stress_Level(1-10)]]&lt;=7,"Medium","High"))</f>
        <v>Medium</v>
      </c>
      <c r="N498" t="str">
        <f>IF(Table1[[#This Row],[Happiness_Index(1-10)]]&lt;=4,"Low",IF(Table1[[#This Row],[Happiness_Index(1-10)]]&lt;=7,"Normal","High"))</f>
        <v>High</v>
      </c>
    </row>
    <row r="499" spans="1:14" x14ac:dyDescent="0.25">
      <c r="A499" t="s">
        <v>516</v>
      </c>
      <c r="B499">
        <v>41</v>
      </c>
      <c r="C499" t="s">
        <v>11</v>
      </c>
      <c r="D499">
        <v>7.7</v>
      </c>
      <c r="E499">
        <v>5</v>
      </c>
      <c r="F499">
        <v>7</v>
      </c>
      <c r="G499">
        <v>2</v>
      </c>
      <c r="H499">
        <v>2</v>
      </c>
      <c r="I499" t="s">
        <v>15</v>
      </c>
      <c r="J499">
        <v>8</v>
      </c>
      <c r="K499" t="str">
        <f t="shared" si="7"/>
        <v>36–45</v>
      </c>
      <c r="L499" t="str">
        <f>IF(Table1[[#This Row],[Daily_Screen_Time(hrs)]]&lt;=3,"Low",IF(Table1[[#This Row],[Daily_Screen_Time(hrs)]]&lt;=6,"Medium","High"))</f>
        <v>High</v>
      </c>
      <c r="M499" t="str">
        <f>IF(Table1[[#This Row],[Stress_Level(1-10)]]&lt;=4,"Low",IF(Table1[[#This Row],[Stress_Level(1-10)]]&lt;=7,"Medium","High"))</f>
        <v>Medium</v>
      </c>
      <c r="N499" t="str">
        <f>IF(Table1[[#This Row],[Happiness_Index(1-10)]]&lt;=4,"Low",IF(Table1[[#This Row],[Happiness_Index(1-10)]]&lt;=7,"Normal","High"))</f>
        <v>High</v>
      </c>
    </row>
    <row r="500" spans="1:14" x14ac:dyDescent="0.25">
      <c r="A500" t="s">
        <v>517</v>
      </c>
      <c r="B500">
        <v>23</v>
      </c>
      <c r="C500" t="s">
        <v>11</v>
      </c>
      <c r="D500">
        <v>4.2</v>
      </c>
      <c r="E500">
        <v>9</v>
      </c>
      <c r="F500">
        <v>7</v>
      </c>
      <c r="G500">
        <v>0</v>
      </c>
      <c r="H500">
        <v>2</v>
      </c>
      <c r="I500" t="s">
        <v>12</v>
      </c>
      <c r="J500">
        <v>9</v>
      </c>
      <c r="K500" t="str">
        <f t="shared" si="7"/>
        <v>15–25</v>
      </c>
      <c r="L500" t="str">
        <f>IF(Table1[[#This Row],[Daily_Screen_Time(hrs)]]&lt;=3,"Low",IF(Table1[[#This Row],[Daily_Screen_Time(hrs)]]&lt;=6,"Medium","High"))</f>
        <v>Medium</v>
      </c>
      <c r="M500" t="str">
        <f>IF(Table1[[#This Row],[Stress_Level(1-10)]]&lt;=4,"Low",IF(Table1[[#This Row],[Stress_Level(1-10)]]&lt;=7,"Medium","High"))</f>
        <v>Medium</v>
      </c>
      <c r="N500" t="str">
        <f>IF(Table1[[#This Row],[Happiness_Index(1-10)]]&lt;=4,"Low",IF(Table1[[#This Row],[Happiness_Index(1-10)]]&lt;=7,"Normal","High"))</f>
        <v>High</v>
      </c>
    </row>
    <row r="501" spans="1:14" x14ac:dyDescent="0.25">
      <c r="A501" t="s">
        <v>518</v>
      </c>
      <c r="B501">
        <v>43</v>
      </c>
      <c r="C501" t="s">
        <v>19</v>
      </c>
      <c r="D501">
        <v>5.9</v>
      </c>
      <c r="E501">
        <v>5</v>
      </c>
      <c r="F501">
        <v>8</v>
      </c>
      <c r="G501">
        <v>3</v>
      </c>
      <c r="H501">
        <v>3</v>
      </c>
      <c r="I501" t="s">
        <v>22</v>
      </c>
      <c r="J501">
        <v>7</v>
      </c>
      <c r="K501" t="str">
        <f t="shared" si="7"/>
        <v>36–45</v>
      </c>
      <c r="L501" t="str">
        <f>IF(Table1[[#This Row],[Daily_Screen_Time(hrs)]]&lt;=3,"Low",IF(Table1[[#This Row],[Daily_Screen_Time(hrs)]]&lt;=6,"Medium","High"))</f>
        <v>Medium</v>
      </c>
      <c r="M501" t="str">
        <f>IF(Table1[[#This Row],[Stress_Level(1-10)]]&lt;=4,"Low",IF(Table1[[#This Row],[Stress_Level(1-10)]]&lt;=7,"Medium","High"))</f>
        <v>High</v>
      </c>
      <c r="N501" t="str">
        <f>IF(Table1[[#This Row],[Happiness_Index(1-10)]]&lt;=4,"Low",IF(Table1[[#This Row],[Happiness_Index(1-10)]]&lt;=7,"Normal","High"))</f>
        <v>Normal</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21D4-0EC1-426A-9B9E-2730A94C718D}">
  <dimension ref="A1:A2"/>
  <sheetViews>
    <sheetView workbookViewId="0">
      <selection activeCell="A3" sqref="A3"/>
    </sheetView>
  </sheetViews>
  <sheetFormatPr defaultRowHeight="13.8" x14ac:dyDescent="0.25"/>
  <sheetData>
    <row r="1" spans="1:1" x14ac:dyDescent="0.25">
      <c r="A1">
        <f>MIN(Sheet3!B1)</f>
        <v>0</v>
      </c>
    </row>
    <row r="2" spans="1:1" x14ac:dyDescent="0.25">
      <c r="A2">
        <f>MIN(Mental_Health_and_Social_Media_!B:B)</f>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2EBD-F804-4991-BB8B-B41A63FEB2CD}">
  <dimension ref="B24:B31"/>
  <sheetViews>
    <sheetView topLeftCell="A13" workbookViewId="0">
      <selection activeCell="C35" sqref="C35"/>
    </sheetView>
  </sheetViews>
  <sheetFormatPr defaultRowHeight="13.8" x14ac:dyDescent="0.25"/>
  <cols>
    <col min="2" max="2" width="24.19921875" bestFit="1" customWidth="1"/>
    <col min="3" max="3" width="21.3984375" customWidth="1"/>
  </cols>
  <sheetData>
    <row r="24" spans="2:2" x14ac:dyDescent="0.25">
      <c r="B24" s="4" t="s">
        <v>528</v>
      </c>
    </row>
    <row r="25" spans="2:2" x14ac:dyDescent="0.25">
      <c r="B25" s="15">
        <v>5.5299999999999985</v>
      </c>
    </row>
    <row r="27" spans="2:2" x14ac:dyDescent="0.25">
      <c r="B27" t="s">
        <v>546</v>
      </c>
    </row>
    <row r="28" spans="2:2" x14ac:dyDescent="0.25">
      <c r="B28">
        <v>28.6</v>
      </c>
    </row>
    <row r="30" spans="2:2" x14ac:dyDescent="0.25">
      <c r="B30" s="5" t="s">
        <v>548</v>
      </c>
    </row>
    <row r="31" spans="2:2" x14ac:dyDescent="0.25">
      <c r="B31" s="15">
        <v>6.3040000000000003</v>
      </c>
    </row>
  </sheetData>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E3C0-1A84-4489-9DC8-3E4BDD0C688E}">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Sheet4</vt:lpstr>
      <vt:lpstr>Sheet5</vt:lpstr>
      <vt:lpstr>Dashboard</vt:lpstr>
      <vt:lpstr>Sheet2</vt:lpstr>
      <vt:lpstr>Sheet7</vt:lpstr>
      <vt:lpstr>Mental_Health_and_Social_Media_</vt:lpstr>
      <vt:lpstr>Sheet3</vt:lpstr>
      <vt:lpstr>KPI_Calculations</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JIBIN</dc:creator>
  <cp:lastModifiedBy>Jibin K.B</cp:lastModifiedBy>
  <cp:lastPrinted>2025-12-06T17:13:24Z</cp:lastPrinted>
  <dcterms:created xsi:type="dcterms:W3CDTF">2025-12-04T09:42:18Z</dcterms:created>
  <dcterms:modified xsi:type="dcterms:W3CDTF">2025-12-30T16:54:39Z</dcterms:modified>
</cp:coreProperties>
</file>